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e22452342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4ef4a900634d4e04"/>
    <x:sheet xmlns:r="http://schemas.openxmlformats.org/officeDocument/2006/relationships" name="Mandate &amp; Screen" sheetId="2" r:id="Ra292c870ce0d4413"/>
    <x:sheet xmlns:r="http://schemas.openxmlformats.org/officeDocument/2006/relationships" name="Fund Evidence" sheetId="3" r:id="R7e3851b208b1491c"/>
    <x:sheet xmlns:r="http://schemas.openxmlformats.org/officeDocument/2006/relationships" name="Scorecard" sheetId="4" r:id="Ra38ab4cabeaf4f81"/>
    <x:sheet xmlns:r="http://schemas.openxmlformats.org/officeDocument/2006/relationships" name="Manager Questions" sheetId="5" r:id="R555a7404a1a34734"/>
    <x:sheet xmlns:r="http://schemas.openxmlformats.org/officeDocument/2006/relationships" name="Sources" sheetId="6" r:id="R005d2fef7be8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#,##0"/>
    <x:numFmt numFmtId="202" formatCode="0.00%;[Red](0.00%);-"/>
    <x:numFmt numFmtId="203" formatCode="£#,##0.0"/>
    <x:numFmt numFmtId="204" formatCode="0"/>
  </x:numFmts>
  <x:fonts count="13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i/>
      <x:sz val="9"/>
      <x:color rgb="FF59636E"/>
      <x:name val="Arial"/>
    </x:font>
    <x:font>
      <x:b/>
      <x:sz val="10"/>
      <x:color rgb="FF17324D"/>
      <x:name val="Arial"/>
    </x:font>
    <x:font>
      <x:b/>
      <x:sz val="11"/>
      <x:color rgb="FF0000FF"/>
      <x:name val="Arial"/>
    </x:font>
    <x:font>
      <x:b/>
      <x:sz val="11"/>
      <x:color rgb="FF17324D"/>
      <x:name val="Arial"/>
    </x:font>
    <x:font>
      <x:sz val="11"/>
      <x:color rgb="FF1F2933"/>
      <x:name val="Arial"/>
    </x:font>
    <x:font>
      <x:b/>
      <x:sz val="10"/>
      <x:color rgb="FFFFFFFF"/>
      <x:name val="Arial"/>
    </x:font>
    <x:font>
      <x:b/>
      <x:sz val="11"/>
      <x:color rgb="FF3F6B3B"/>
      <x:name val="Arial"/>
    </x:font>
    <x:font>
      <x:i/>
      <x:sz val="8"/>
      <x:color rgb="FF59636E"/>
      <x:name val="Arial"/>
    </x:font>
    <x:font>
      <x:sz val="10"/>
      <x:color rgb="FF0000FF"/>
      <x:name val="Arial"/>
    </x:font>
    <x:font>
      <x:sz val="10"/>
      <x:color rgb="FF3F6B3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AF1F6"/>
      </x:patternFill>
    </x:fill>
    <x:fill>
      <x:patternFill patternType="solid">
        <x:fgColor rgb="FFF4F8FB"/>
      </x:patternFill>
    </x:fill>
    <x:fill>
      <x:patternFill patternType="solid">
        <x:fgColor rgb="FF17324D"/>
      </x:patternFill>
    </x:fill>
    <x:fill>
      <x:patternFill patternType="solid">
        <x:fgColor rgb="FFF2F4F6"/>
      </x:patternFill>
    </x:fill>
  </x:fills>
  <x:borders count="16">
    <x:border/>
    <x:border>
      <x:bottom style="medium">
        <x:color rgb="FF17324D"/>
      </x:bottom>
    </x:border>
    <x:border>
      <x:left style="dashed">
        <x:color rgb="FF8A5A00"/>
      </x:left>
      <x:right style="dashed">
        <x:color rgb="FF8A5A00"/>
      </x:right>
      <x:top style="dashed">
        <x:color rgb="FF8A5A00"/>
      </x:top>
      <x:bottom style="dashed">
        <x:color rgb="FF8A5A00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0E6"/>
      </x:left>
    </x:border>
    <x:border>
      <x:right style="thin">
        <x:color rgb="FFD9E0E6"/>
      </x:right>
    </x:border>
    <x:border>
      <x:left style="dashed">
        <x:color rgb="FF3F6B3B"/>
      </x:left>
      <x:right style="dashed">
        <x:color rgb="FF3F6B3B"/>
      </x:right>
      <x:top style="dashed">
        <x:color rgb="FF3F6B3B"/>
      </x:top>
      <x:bottom style="dashed">
        <x:color rgb="FF3F6B3B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2" xfId="0" applyNumberFormat="1" applyFont="1" applyFill="1" applyBorder="1"/>
    <x:xf numFmtId="0" fontId="8" fillId="5" borderId="12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horizontal="center" wrapText="1"/>
    </x:xf>
    <x:xf numFmtId="0" fontId="8" fillId="5" borderId="1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200" fontId="1" fillId="0" borderId="4" xfId="0" applyNumberFormat="1" applyFont="1" applyFill="1" applyBorder="1" applyAlignment="1">
      <x:alignment vertical="top" wrapText="0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wrapText="1"/>
    </x:xf>
    <x:xf numFmtId="0" fontId="3" fillId="6" borderId="1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vertical="center" wrapText="1"/>
    </x:xf>
    <x:xf numFmtId="0" fontId="3" fillId="6" borderId="7" xfId="0" applyNumberFormat="1" applyFont="1" applyFill="1" applyBorder="1" applyAlignment="1">
      <x:alignment vertical="center" wrapText="1"/>
    </x:xf>
    <x:xf numFmtId="0" fontId="3" fillId="6" borderId="8" xfId="0" applyNumberFormat="1" applyFont="1" applyFill="1" applyBorder="1" applyAlignment="1">
      <x:alignment vertical="center" wrapText="1"/>
    </x:xf>
    <x:xf numFmtId="0" fontId="3" fillId="6" borderId="9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 applyAlignment="1">
      <x:alignment vertical="center" wrapText="1"/>
    </x:xf>
    <x:xf numFmtId="0" fontId="3" fillId="6" borderId="1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/>
    <x:xf numFmtId="0" fontId="3" fillId="6" borderId="14" xfId="0" applyNumberFormat="1" applyFont="1" applyFill="1" applyBorder="1"/>
    <x:xf numFmtId="0" fontId="3" fillId="6" borderId="13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4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2" fontId="1" fillId="0" borderId="10" xfId="0" applyNumberFormat="1" applyFont="1" applyFill="1" applyBorder="1" applyAlignment="1">
      <x:alignment vertical="top" wrapText="1"/>
    </x:xf>
    <x:xf numFmtId="202" fontId="1" fillId="0" borderId="4" xfId="0" applyNumberFormat="1" applyFont="1" applyFill="1" applyBorder="1" applyAlignment="1">
      <x:alignment vertical="top" wrapText="1"/>
    </x:xf>
    <x:xf numFmtId="203" fontId="1" fillId="0" borderId="4" xfId="0" applyNumberFormat="1" applyFont="1" applyFill="1" applyBorder="1" applyAlignment="1">
      <x:alignment vertical="top" wrapText="1"/>
    </x:xf>
    <x:xf numFmtId="204" fontId="1" fillId="0" borderId="4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15" xfId="0" applyNumberFormat="1" applyFont="1" applyFill="1" applyBorder="1"/>
    <x:xf numFmtId="0" fontId="9" fillId="6" borderId="15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top"/>
    </x:xf>
    <x:xf numFmtId="0" fontId="12" fillId="0" borderId="0" xfId="0" applyNumberFormat="1" applyFont="1" applyFill="1" applyBorder="1" applyAlignment="1">
      <x:alignment horizontal="center" vertical="top"/>
    </x:xf>
    <x:xf numFmtId="0" fontId="11" fillId="0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horizontal="center" vertical="top" wrapText="1"/>
    </x:xf>
    <x:xf numFmtId="0" fontId="11" fillId="0" borderId="10" xfId="0" applyNumberFormat="1" applyFont="1" applyFill="1" applyBorder="1" applyAlignment="1">
      <x:alignment horizontal="center" vertical="top" wrapText="1"/>
    </x:xf>
    <x:xf numFmtId="0" fontId="12" fillId="0" borderId="10" xfId="0" applyNumberFormat="1" applyFont="1" applyFill="1" applyBorder="1" applyAlignment="1">
      <x:alignment horizontal="center" vertical="top" wrapText="1"/>
    </x:xf>
    <x:xf numFmtId="0" fontId="11" fillId="0" borderId="4" xfId="0" applyNumberFormat="1" applyFont="1" applyFill="1" applyBorder="1" applyAlignment="1">
      <x:alignment horizontal="center" vertical="top" wrapText="1"/>
    </x:xf>
    <x:xf numFmtId="0" fontId="12" fillId="0" borderId="4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4" xfId="0" applyNumberFormat="1" applyFont="1" applyFill="1" applyBorder="1" applyAlignment="1">
      <x:alignment horizontal="center"/>
    </x:xf>
    <x:xf numFmtId="0" fontId="1" fillId="0" borderId="10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0"/>
    </x:xf>
    <x:xf numFmtId="200" fontId="1" fillId="0" borderId="10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200" fontId="1" fillId="0" borderId="4" xfId="0" applyNumberFormat="1" applyFont="1" applyFill="1" applyBorder="1" applyAlignment="1">
      <x:alignment vertical="center" wrapText="0"/>
    </x:xf>
    <x:xf numFmtId="201" fontId="1" fillId="0" borderId="10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202" fontId="1" fillId="0" borderId="10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 wrapText="1"/>
    </x:xf>
    <x:xf numFmtId="203" fontId="1" fillId="0" borderId="4" xfId="0" applyNumberFormat="1" applyFont="1" applyFill="1" applyBorder="1" applyAlignment="1">
      <x:alignment vertical="center" wrapText="1"/>
    </x:xf>
    <x:xf numFmtId="204" fontId="1" fillId="0" borderId="4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horizontal="center" vertical="center" wrapText="1"/>
    </x:xf>
    <x:xf numFmtId="0" fontId="12" fillId="0" borderId="10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horizontal="center" vertical="center" wrapText="1"/>
    </x:xf>
    <x:xf numFmtId="0" fontId="12" fillId="0" borderId="4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3F6B3B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12622"/>
      </x:font>
      <x:fill>
        <x:patternFill patternType="solid">
          <x:bgColor rgb="FFFCE8E6"/>
        </x:patternFill>
      </x:fill>
    </x:dxf>
    <x:dxf>
      <x:font>
        <x:b/>
        <x:color rgb="FFA12622"/>
      </x:font>
      <x:fill>
        <x:patternFill patternType="solid">
          <x:bgColor rgb="FFFCE8E6"/>
        </x:patternFill>
      </x:fill>
    </x:dxf>
    <x:dxf>
      <x:font>
        <x:b/>
        <x:color rgb="FFA1262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636600376496f" /><Relationship Type="http://schemas.openxmlformats.org/officeDocument/2006/relationships/theme" Target="/xl/theme/theme1.xml" Id="Rd64bc69f25a242f1" /><Relationship Type="http://schemas.openxmlformats.org/officeDocument/2006/relationships/sharedStrings" Target="/xl/sharedStrings.xml" Id="R25b0753af6784ea7" /><Relationship Type="http://schemas.openxmlformats.org/officeDocument/2006/relationships/worksheet" Target="/xl/worksheets/sheet1.xml" Id="R4ef4a900634d4e04" /><Relationship Type="http://schemas.openxmlformats.org/officeDocument/2006/relationships/worksheet" Target="/xl/worksheets/sheet2.xml" Id="Ra292c870ce0d4413" /><Relationship Type="http://schemas.openxmlformats.org/officeDocument/2006/relationships/worksheet" Target="/xl/worksheets/sheet3.xml" Id="R7e3851b208b1491c" /><Relationship Type="http://schemas.openxmlformats.org/officeDocument/2006/relationships/worksheet" Target="/xl/worksheets/sheet4.xml" Id="Ra38ab4cabeaf4f81" /><Relationship Type="http://schemas.openxmlformats.org/officeDocument/2006/relationships/worksheet" Target="/xl/worksheets/sheet5.xml" Id="R555a7404a1a34734" /><Relationship Type="http://schemas.openxmlformats.org/officeDocument/2006/relationships/worksheet" Target="/xl/worksheets/sheet6.xml" Id="R005d2fef7be844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.889999389648438" hidden="0" customWidth="1"/>
    <x:col min="3" max="3" width="24.440000534057617" hidden="0" customWidth="1"/>
    <x:col min="4" max="4" width="40" hidden="0" customWidth="1"/>
    <x:col min="5" max="5" width="2.2200000286102295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9.109999656677246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</x:row>
    <x:row r="2" ht="26" customHeight="1">
      <x:c r="A2" s="152" t="str">
        <x:v>Northbridge Education Charity Fund Shortlist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</x:row>
    <x:row r="3" ht="30" customHeight="1">
      <x:c r="A3" s="154" t="str">
        <x:v>Preliminary public-information screen | Evidence checked 2026-09-21 | Hypothetical educational case, not investment advice</x:v>
      </x:c>
      <x:c r="B3" s="154"/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154"/>
    </x:row>
    <x:row r="4" ht="24" customHeight="1">
      <x:c r="A4" s="155" t="str">
        <x:v>Selected trustee priority</x:v>
      </x:c>
      <x:c r="B4" s="155"/>
      <x:c r="C4" s="11" t="str">
        <x:v>Base</x:v>
      </x:c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</x:row>
    <x:row r="5">
      <x:c r="A5" s="101"/>
      <x:c r="B5" s="101"/>
      <x:c r="C5" s="101"/>
      <x:c r="D5" s="101"/>
      <x:c r="E5" s="101"/>
      <x:c r="F5" s="101"/>
      <x:c r="G5" s="101"/>
      <x:c r="H5" s="101"/>
      <x:c r="I5" s="101"/>
      <x:c r="J5" s="101"/>
      <x:c r="K5" s="101"/>
      <x:c r="L5" s="101"/>
      <x:c r="M5" s="101"/>
    </x:row>
    <x:row r="6">
      <x:c r="A6" s="17" t="str">
        <x:v>Outcome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9"/>
    </x:row>
    <x:row r="7">
      <x:c r="A7" s="34" t="str">
        <x:f>IF(INDEX(Scorecard!$E$23:$E$26,MATCH(C4,Scorecard!$A$23:$A$26,0))="Check weights","Scenario weights must total 100 before a ranking is shown. Do not appoint from public documents alone.",IF(INDEX(Scorecard!$E$23:$E$26,MATCH(C4,Scorecard!$A$23:$A$26,0))="Tie","Do not appoint from public documents alone. Under the "&amp;C4&amp;" priority, the numerical result is tied. Use the tie to prioritise due diligence rather than to approve a fund.","Do not appoint from public documents alone. Under the "&amp;C4&amp;" priority, "&amp;INDEX(Scorecard!$E$23:$E$26,MATCH(C4,Scorecard!$A$23:$A$26,0))&amp;" is the numerical leader. Treat the score as a judgement-sensitive comparison to prioritise due diligence, not as approval of a fund."))</x:f>
        <x:v>Do not appoint from public documents alone. Under the Base priority, Cazenove is the numerical leader. Treat the score as a judgement-sensitive comparison to prioritise due diligence, not as approval of a fund.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6"/>
    </x:row>
    <x:row r="8">
      <x:c r="A8" s="37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9"/>
    </x:row>
    <x:row r="9">
      <x:c r="A9" s="101"/>
      <x:c r="B9" s="101"/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</x:row>
    <x:row r="10">
      <x:c r="A10" s="45" t="str">
        <x:v>Fund</x:v>
      </x:c>
      <x:c r="B10" s="45" t="str">
        <x:v>Selected score / 100</x:v>
      </x:c>
      <x:c r="C10" s="45" t="str">
        <x:v>Role in shortlist</x:v>
      </x:c>
      <x:c r="D10" s="45" t="str">
        <x:v>Condition before appointment</x:v>
      </x:c>
      <x:c r="E10" s="101"/>
      <x:c r="F10" s="17" t="str">
        <x:v>How to read the result</x:v>
      </x:c>
      <x:c r="G10" s="18"/>
      <x:c r="H10" s="18"/>
      <x:c r="I10" s="18"/>
      <x:c r="J10" s="18"/>
      <x:c r="K10" s="18"/>
      <x:c r="L10" s="18"/>
      <x:c r="M10" s="19"/>
    </x:row>
    <x:row r="11" ht="42" customHeight="1">
      <x:c r="A11" s="156" t="str">
        <x:v>Cazenove</x:v>
      </x:c>
      <x:c r="B11" s="157" t="n">
        <x:f>Scorecard!B16</x:f>
        <x:v>70</x:v>
      </x:c>
      <x:c r="C11" s="158" t="str">
        <x:v>Balanced starting point</x:v>
      </x:c>
      <x:c r="D11" s="158" t="str">
        <x:v>Resolve product-level mission screens, full cost and drawdown evidence</x:v>
      </x:c>
      <x:c r="E11" s="101"/>
      <x:c r="F11" s="69" t="str">
        <x:v>1. Screen suitability first. All three pass basic access and dealing checks, but none has enough public evidence for appointment.</x:v>
      </x:c>
      <x:c r="G11" s="70" t="str">
        <x:v>1. Screen suitability first. All three pass basic access and dealing checks, but none has enough public evidence for appointment.</x:v>
      </x:c>
      <x:c r="H11" s="70" t="str">
        <x:v>1. Screen suitability first. All three pass basic access and dealing checks, but none has enough public evidence for appointment.</x:v>
      </x:c>
      <x:c r="I11" s="70" t="str">
        <x:v>1. Screen suitability first. All three pass basic access and dealing checks, but none has enough public evidence for appointment.</x:v>
      </x:c>
      <x:c r="J11" s="70" t="str">
        <x:v>1. Screen suitability first. All three pass basic access and dealing checks, but none has enough public evidence for appointment.</x:v>
      </x:c>
      <x:c r="K11" s="70" t="str">
        <x:v>1. Screen suitability first. All three pass basic access and dealing checks, but none has enough public evidence for appointment.</x:v>
      </x:c>
      <x:c r="L11" s="70" t="str">
        <x:v>1. Screen suitability first. All three pass basic access and dealing checks, but none has enough public evidence for appointment.</x:v>
      </x:c>
      <x:c r="M11" s="71" t="str">
        <x:v>1. Screen suitability first. All three pass basic access and dealing checks, but none has enough public evidence for appointment.</x:v>
      </x:c>
    </x:row>
    <x:row r="12" ht="42" customHeight="1">
      <x:c r="A12" s="159" t="str">
        <x:v>Sarasin</x:v>
      </x:c>
      <x:c r="B12" s="160" t="n">
        <x:f>Scorecard!B17</x:f>
        <x:v>63</x:v>
      </x:c>
      <x:c r="C12" s="161" t="str">
        <x:v>Mission-led alternative</x:v>
      </x:c>
      <x:c r="D12" s="161" t="str">
        <x:v>Explain five-year target miss, high fees and differing OCF disclosures</x:v>
      </x:c>
      <x:c r="E12" s="101"/>
      <x:c r="F12" s="72" t="str">
        <x:v>1. Screen suitability first. All three pass basic access and dealing checks, but none has enough public evidence for appointment.</x:v>
      </x:c>
      <x:c r="G12" s="73" t="str">
        <x:v>1. Screen suitability first. All three pass basic access and dealing checks, but none has enough public evidence for appointment.</x:v>
      </x:c>
      <x:c r="H12" s="73" t="str">
        <x:v>1. Screen suitability first. All three pass basic access and dealing checks, but none has enough public evidence for appointment.</x:v>
      </x:c>
      <x:c r="I12" s="73" t="str">
        <x:v>1. Screen suitability first. All three pass basic access and dealing checks, but none has enough public evidence for appointment.</x:v>
      </x:c>
      <x:c r="J12" s="73" t="str">
        <x:v>1. Screen suitability first. All three pass basic access and dealing checks, but none has enough public evidence for appointment.</x:v>
      </x:c>
      <x:c r="K12" s="73" t="str">
        <x:v>1. Screen suitability first. All three pass basic access and dealing checks, but none has enough public evidence for appointment.</x:v>
      </x:c>
      <x:c r="L12" s="73" t="str">
        <x:v>1. Screen suitability first. All three pass basic access and dealing checks, but none has enough public evidence for appointment.</x:v>
      </x:c>
      <x:c r="M12" s="74" t="str">
        <x:v>1. Screen suitability first. All three pass basic access and dealing checks, but none has enough public evidence for appointment.</x:v>
      </x:c>
    </x:row>
    <x:row r="13" ht="42" customHeight="1">
      <x:c r="A13" s="159" t="str">
        <x:v>M&amp;G</x:v>
      </x:c>
      <x:c r="B13" s="160" t="n">
        <x:f>Scorecard!B18</x:f>
        <x:v>63</x:v>
      </x:c>
      <x:c r="C13" s="161" t="str">
        <x:v>Cost-led comparator</x:v>
      </x:c>
      <x:c r="D13" s="161" t="str">
        <x:v>Resolve CPI mismatch, mission rules and affiliated-fund conflicts</x:v>
      </x:c>
      <x:c r="E13" s="101"/>
      <x:c r="F13" s="101"/>
      <x:c r="G13" s="101"/>
      <x:c r="H13" s="101"/>
      <x:c r="I13" s="101"/>
      <x:c r="J13" s="101"/>
      <x:c r="K13" s="101"/>
      <x:c r="L13" s="101"/>
      <x:c r="M13" s="101"/>
    </x:row>
    <x:row r="14">
      <x:c r="A14" s="101"/>
      <x:c r="B14" s="101"/>
      <x:c r="C14" s="101"/>
      <x:c r="D14" s="101"/>
      <x:c r="E14" s="101"/>
      <x:c r="F14" s="69" t="str">
        <x:v>2. Treat every lead as judgement-sensitive. A one-step score change moves the total by one to nine points, depending on the selected weight.</x:v>
      </x:c>
      <x:c r="G14" s="70" t="str">
        <x:v>2. Treat every lead as judgement-sensitive. A one-step score change moves the total by one to nine points, depending on the selected weight.</x:v>
      </x:c>
      <x:c r="H14" s="70" t="str">
        <x:v>2. Treat every lead as judgement-sensitive. A one-step score change moves the total by one to nine points, depending on the selected weight.</x:v>
      </x:c>
      <x:c r="I14" s="70" t="str">
        <x:v>2. Treat every lead as judgement-sensitive. A one-step score change moves the total by one to nine points, depending on the selected weight.</x:v>
      </x:c>
      <x:c r="J14" s="70" t="str">
        <x:v>2. Treat every lead as judgement-sensitive. A one-step score change moves the total by one to nine points, depending on the selected weight.</x:v>
      </x:c>
      <x:c r="K14" s="70" t="str">
        <x:v>2. Treat every lead as judgement-sensitive. A one-step score change moves the total by one to nine points, depending on the selected weight.</x:v>
      </x:c>
      <x:c r="L14" s="70" t="str">
        <x:v>2. Treat every lead as judgement-sensitive. A one-step score change moves the total by one to nine points, depending on the selected weight.</x:v>
      </x:c>
      <x:c r="M14" s="71" t="str">
        <x:v>2. Treat every lead as judgement-sensitive. A one-step score change moves the total by one to nine points, depending on the selected weight.</x:v>
      </x:c>
    </x:row>
    <x:row r="15">
      <x:c r="A15" s="101"/>
      <x:c r="B15" s="101"/>
      <x:c r="C15" s="101"/>
      <x:c r="D15" s="101"/>
      <x:c r="E15" s="101"/>
      <x:c r="F15" s="72" t="str">
        <x:v>2. Treat every lead as judgement-sensitive. A one-step score change moves the total by one to nine points, depending on the selected weight.</x:v>
      </x:c>
      <x:c r="G15" s="73" t="str">
        <x:v>2. Treat every lead as judgement-sensitive. A one-step score change moves the total by one to nine points, depending on the selected weight.</x:v>
      </x:c>
      <x:c r="H15" s="73" t="str">
        <x:v>2. Treat every lead as judgement-sensitive. A one-step score change moves the total by one to nine points, depending on the selected weight.</x:v>
      </x:c>
      <x:c r="I15" s="73" t="str">
        <x:v>2. Treat every lead as judgement-sensitive. A one-step score change moves the total by one to nine points, depending on the selected weight.</x:v>
      </x:c>
      <x:c r="J15" s="73" t="str">
        <x:v>2. Treat every lead as judgement-sensitive. A one-step score change moves the total by one to nine points, depending on the selected weight.</x:v>
      </x:c>
      <x:c r="K15" s="73" t="str">
        <x:v>2. Treat every lead as judgement-sensitive. A one-step score change moves the total by one to nine points, depending on the selected weight.</x:v>
      </x:c>
      <x:c r="L15" s="73" t="str">
        <x:v>2. Treat every lead as judgement-sensitive. A one-step score change moves the total by one to nine points, depending on the selected weight.</x:v>
      </x:c>
      <x:c r="M15" s="74" t="str">
        <x:v>2. Treat every lead as judgement-sensitive. A one-step score change moves the total by one to nine points, depending on the selected weight.</x:v>
      </x:c>
    </x:row>
    <x:row r="16">
      <x:c r="A16" s="45" t="str">
        <x:v>Priority case</x:v>
      </x:c>
      <x:c r="B16" s="45" t="str">
        <x:v>Cazenove</x:v>
      </x:c>
      <x:c r="C16" s="45" t="str">
        <x:v>Sarasin</x:v>
      </x:c>
      <x:c r="D16" s="45" t="str">
        <x:v>M&amp;G</x:v>
      </x:c>
      <x:c r="E16" s="101"/>
      <x:c r="F16" s="101"/>
      <x:c r="G16" s="101"/>
      <x:c r="H16" s="101"/>
      <x:c r="I16" s="101"/>
      <x:c r="J16" s="101"/>
      <x:c r="K16" s="101"/>
      <x:c r="L16" s="101"/>
      <x:c r="M16" s="101"/>
    </x:row>
    <x:row r="17">
      <x:c r="A17" s="162" t="str">
        <x:v>Base</x:v>
      </x:c>
      <x:c r="B17" s="163" t="n">
        <x:f>Scorecard!B23</x:f>
        <x:v>70</x:v>
      </x:c>
      <x:c r="C17" s="163" t="n">
        <x:f>Scorecard!C23</x:f>
        <x:v>63</x:v>
      </x:c>
      <x:c r="D17" s="163" t="n">
        <x:f>Scorecard!D23</x:f>
        <x:v>63</x:v>
      </x:c>
      <x:c r="E17" s="101"/>
      <x:c r="F17" s="69" t="str">
        <x:v>3. Obtain comparable downside, cost, liquidity, mission and governance evidence before returning with a recommendation.</x:v>
      </x:c>
      <x:c r="G17" s="70" t="str">
        <x:v>3. Obtain comparable downside, cost, liquidity, mission and governance evidence before returning with a recommendation.</x:v>
      </x:c>
      <x:c r="H17" s="70" t="str">
        <x:v>3. Obtain comparable downside, cost, liquidity, mission and governance evidence before returning with a recommendation.</x:v>
      </x:c>
      <x:c r="I17" s="70" t="str">
        <x:v>3. Obtain comparable downside, cost, liquidity, mission and governance evidence before returning with a recommendation.</x:v>
      </x:c>
      <x:c r="J17" s="70" t="str">
        <x:v>3. Obtain comparable downside, cost, liquidity, mission and governance evidence before returning with a recommendation.</x:v>
      </x:c>
      <x:c r="K17" s="70" t="str">
        <x:v>3. Obtain comparable downside, cost, liquidity, mission and governance evidence before returning with a recommendation.</x:v>
      </x:c>
      <x:c r="L17" s="70" t="str">
        <x:v>3. Obtain comparable downside, cost, liquidity, mission and governance evidence before returning with a recommendation.</x:v>
      </x:c>
      <x:c r="M17" s="71" t="str">
        <x:v>3. Obtain comparable downside, cost, liquidity, mission and governance evidence before returning with a recommendation.</x:v>
      </x:c>
    </x:row>
    <x:row r="18">
      <x:c r="A18" s="164" t="str">
        <x:v>Preservation-first</x:v>
      </x:c>
      <x:c r="B18" s="165" t="n">
        <x:f>Scorecard!B24</x:f>
        <x:v>70</x:v>
      </x:c>
      <x:c r="C18" s="165" t="n">
        <x:f>Scorecard!C24</x:f>
        <x:v>64</x:v>
      </x:c>
      <x:c r="D18" s="165" t="n">
        <x:f>Scorecard!D24</x:f>
        <x:v>62</x:v>
      </x:c>
      <x:c r="E18" s="101"/>
      <x:c r="F18" s="72" t="str">
        <x:v>3. Obtain comparable downside, cost, liquidity, mission and governance evidence before returning with a recommendation.</x:v>
      </x:c>
      <x:c r="G18" s="73" t="str">
        <x:v>3. Obtain comparable downside, cost, liquidity, mission and governance evidence before returning with a recommendation.</x:v>
      </x:c>
      <x:c r="H18" s="73" t="str">
        <x:v>3. Obtain comparable downside, cost, liquidity, mission and governance evidence before returning with a recommendation.</x:v>
      </x:c>
      <x:c r="I18" s="73" t="str">
        <x:v>3. Obtain comparable downside, cost, liquidity, mission and governance evidence before returning with a recommendation.</x:v>
      </x:c>
      <x:c r="J18" s="73" t="str">
        <x:v>3. Obtain comparable downside, cost, liquidity, mission and governance evidence before returning with a recommendation.</x:v>
      </x:c>
      <x:c r="K18" s="73" t="str">
        <x:v>3. Obtain comparable downside, cost, liquidity, mission and governance evidence before returning with a recommendation.</x:v>
      </x:c>
      <x:c r="L18" s="73" t="str">
        <x:v>3. Obtain comparable downside, cost, liquidity, mission and governance evidence before returning with a recommendation.</x:v>
      </x:c>
      <x:c r="M18" s="74" t="str">
        <x:v>3. Obtain comparable downside, cost, liquidity, mission and governance evidence before returning with a recommendation.</x:v>
      </x:c>
    </x:row>
    <x:row r="19">
      <x:c r="A19" s="164" t="str">
        <x:v>Cost-first</x:v>
      </x:c>
      <x:c r="B19" s="165" t="n">
        <x:f>Scorecard!B25</x:f>
        <x:v>76</x:v>
      </x:c>
      <x:c r="C19" s="165" t="n">
        <x:f>Scorecard!C25</x:f>
        <x:v>55</x:v>
      </x:c>
      <x:c r="D19" s="165" t="n">
        <x:f>Scorecard!D25</x:f>
        <x:v>77</x:v>
      </x:c>
      <x:c r="E19" s="101"/>
      <x:c r="F19" s="101"/>
      <x:c r="G19" s="101"/>
      <x:c r="H19" s="101"/>
      <x:c r="I19" s="101"/>
      <x:c r="J19" s="101"/>
      <x:c r="K19" s="101"/>
      <x:c r="L19" s="101"/>
      <x:c r="M19" s="101"/>
    </x:row>
    <x:row r="20">
      <x:c r="A20" s="164" t="str">
        <x:v>Mission-first</x:v>
      </x:c>
      <x:c r="B20" s="165" t="n">
        <x:f>Scorecard!B26</x:f>
        <x:v>65</x:v>
      </x:c>
      <x:c r="C20" s="165" t="n">
        <x:f>Scorecard!C26</x:f>
        <x:v>67</x:v>
      </x:c>
      <x:c r="D20" s="165" t="n">
        <x:f>Scorecard!D26</x:f>
        <x:v>58</x:v>
      </x:c>
      <x:c r="E20" s="101"/>
      <x:c r="F20" s="101"/>
      <x:c r="G20" s="101"/>
      <x:c r="H20" s="101"/>
      <x:c r="I20" s="101"/>
      <x:c r="J20" s="101"/>
      <x:c r="K20" s="101"/>
      <x:c r="L20" s="101"/>
      <x:c r="M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</x:row>
    <x:row r="23">
      <x:c r="A23" s="17" t="str">
        <x:v>What the public evidence does and does not establish</x:v>
      </x:c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9"/>
    </x:row>
    <x:row r="24">
      <x:c r="A24" s="45" t="str">
        <x:v>Finding</x:v>
      </x:c>
      <x:c r="B24" s="45" t="str">
        <x:v>Evidence</x:v>
      </x:c>
      <x:c r="C24" s="45" t="str">
        <x:v>Decision effect</x:v>
      </x:c>
      <x:c r="D24" s="45" t="str">
        <x:v>Limit</x:v>
      </x:c>
      <x:c r="E24" s="101"/>
      <x:c r="F24" s="101"/>
      <x:c r="G24" s="101"/>
      <x:c r="H24" s="101"/>
      <x:c r="I24" s="101"/>
      <x:c r="J24" s="101"/>
      <x:c r="K24" s="101"/>
      <x:c r="L24" s="101"/>
      <x:c r="M24" s="101"/>
    </x:row>
    <x:row r="25" ht="74" customHeight="1">
      <x:c r="A25" s="158" t="str">
        <x:v>All three pass basic access and liquidity screens</x:v>
      </x:c>
      <x:c r="B25" s="158" t="str">
        <x:v>Exact GBP accumulation classes and daily dealing are documented</x:v>
      </x:c>
      <x:c r="C25" s="158" t="str">
        <x:v>A shortlist is feasible</x:v>
      </x:c>
      <x:c r="D25" s="158" t="str">
        <x:v>Daily dealing can still be suspended or deferred</x:v>
      </x:c>
      <x:c r="E25" s="101"/>
      <x:c r="F25" s="101"/>
      <x:c r="G25" s="101"/>
      <x:c r="H25" s="101"/>
      <x:c r="I25" s="101"/>
      <x:c r="J25" s="101"/>
      <x:c r="K25" s="101"/>
      <x:c r="L25" s="101"/>
      <x:c r="M25" s="101"/>
    </x:row>
    <x:row r="26" ht="74" customHeight="1">
      <x:c r="A26" s="161" t="str">
        <x:v>All three missed the stated target over the latest disclosed target horizon</x:v>
      </x:c>
      <x:c r="B26" s="161" t="str">
        <x:v>Cazenove 6.6% vs manager-disclosed 7.9% series over 10y (RPI then CPI); Sarasin 4.85% vs 9.26% over 5y; M&amp;G 8.16% vs 8.68% over 5y</x:v>
      </x:c>
      <x:c r="C26" s="161" t="str">
        <x:v>Require attribution rather than selecting on headline return</x:v>
      </x:c>
      <x:c r="D26" s="161" t="str">
        <x:v>Different targets, histories and dates mean the gaps are not a league table</x:v>
      </x:c>
      <x:c r="E26" s="101"/>
      <x:c r="F26" s="101"/>
      <x:c r="G26" s="101"/>
      <x:c r="H26" s="101"/>
      <x:c r="I26" s="101"/>
      <x:c r="J26" s="101"/>
      <x:c r="K26" s="101"/>
      <x:c r="L26" s="101"/>
      <x:c r="M26" s="101"/>
    </x:row>
    <x:row r="27" ht="74" customHeight="1">
      <x:c r="A27" s="161" t="str">
        <x:v>The strongest choice changes with trustee priorities</x:v>
      </x:c>
      <x:c r="B27" s="161" t="str">
        <x:v>Cazenove leads Base and Preservation-first; M&amp;G leads Cost-first; Sarasin leads Mission-first</x:v>
      </x:c>
      <x:c r="C27" s="161" t="str">
        <x:v>No single fund is robustly first</x:v>
      </x:c>
      <x:c r="D27" s="161" t="str">
        <x:v>Scores contain documented judgement</x:v>
      </x:c>
      <x:c r="E27" s="101"/>
      <x:c r="F27" s="101"/>
      <x:c r="G27" s="101"/>
      <x:c r="H27" s="101"/>
      <x:c r="I27" s="101"/>
      <x:c r="J27" s="101"/>
      <x:c r="K27" s="101"/>
      <x:c r="L27" s="101"/>
      <x:c r="M27" s="101"/>
    </x:row>
    <x:row r="28" ht="74" customHeight="1">
      <x:c r="A28" s="161" t="str">
        <x:v>The final appointment evidence is incomplete</x:v>
      </x:c>
      <x:c r="B28" s="161" t="str">
        <x:v>Maximum drawdown, recovery, look-through costs, liquidity and mission data are missing or inconsistent</x:v>
      </x:c>
      <x:c r="C28" s="161" t="str">
        <x:v>Manager meetings and operational checks are required</x:v>
      </x:c>
      <x:c r="D28" s="161" t="str">
        <x:v>Preliminary screen only; full manager due diligence remains outstanding</x:v>
      </x:c>
      <x:c r="E28" s="101"/>
      <x:c r="F28" s="101"/>
      <x:c r="G28" s="101"/>
      <x:c r="H28" s="101"/>
      <x:c r="I28" s="101"/>
      <x:c r="J28" s="101"/>
      <x:c r="K28" s="101"/>
      <x:c r="L28" s="101"/>
      <x:c r="M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</x:row>
    <x:row r="30">
      <x:c r="A30" s="95" t="str">
        <x:v>Scoring is a transparent decision aid, not a forecast. A whole-number score combines evidence quality and fit with this fictional mandate; it does not prove manager skill or guarantee suitability.</x:v>
      </x:c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7"/>
    </x:row>
    <x:row r="31">
      <x:c r="A31" s="98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100"/>
    </x:row>
  </x:sheetData>
  <x:mergeCells>
    <x:mergeCell ref="A3:M3"/>
    <x:mergeCell ref="A6:M6"/>
    <x:mergeCell ref="A7:M8"/>
    <x:mergeCell ref="F10:M10"/>
    <x:mergeCell ref="F11:M12"/>
    <x:mergeCell ref="F14:M15"/>
    <x:mergeCell ref="F17:M18"/>
    <x:mergeCell ref="A23:M23"/>
    <x:mergeCell ref="A30:M31"/>
  </x:mergeCells>
  <x:conditionalFormatting sqref="A17:D20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dataValidations count="1">
    <x:dataValidation type="list" sqref="C4">
      <x:formula1>"Base,Preservation-first,Cost-first,Mission-first"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E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.670000076293945" hidden="0" customWidth="1"/>
    <x:col min="2" max="2" width="23.889999389648438" hidden="0" customWidth="1"/>
    <x:col min="3" max="3" width="14.4399995803833" hidden="0" customWidth="1"/>
    <x:col min="4" max="4" width="40" hidden="0" customWidth="1"/>
    <x:col min="5" max="5" width="33.33000183105469" hidden="0" customWidth="1"/>
    <x:col min="6" max="6" width="2.2200000286102295" hidden="0" customWidth="1"/>
  </x:cols>
  <x:sheetData>
    <x:row r="1">
      <x:c r="A1" s="101"/>
      <x:c r="B1" s="101"/>
      <x:c r="C1" s="101"/>
      <x:c r="D1" s="101"/>
      <x:c r="E1" s="101"/>
      <x:c r="F1" s="101"/>
    </x:row>
    <x:row r="2" ht="26" customHeight="1">
      <x:c r="A2" s="152" t="str">
        <x:v>Client Mandate and Suitability Screen</x:v>
      </x:c>
      <x:c r="B2" s="153"/>
      <x:c r="C2" s="153"/>
      <x:c r="D2" s="153"/>
      <x:c r="E2" s="153"/>
      <x:c r="F2" s="153"/>
    </x:row>
    <x:row r="3" ht="30" customHeight="1">
      <x:c r="A3" s="154" t="str">
        <x:v>Client assumptions are explicit so the conclusion can be challenged rather than made circular</x:v>
      </x:c>
      <x:c r="B3" s="154"/>
      <x:c r="C3" s="154"/>
      <x:c r="D3" s="154"/>
      <x:c r="E3" s="154"/>
      <x:c r="F3" s="154"/>
    </x:row>
    <x:row r="4">
      <x:c r="A4" s="101"/>
      <x:c r="B4" s="101"/>
      <x:c r="C4" s="101"/>
      <x:c r="D4" s="101"/>
      <x:c r="E4" s="101"/>
      <x:c r="F4" s="101"/>
    </x:row>
    <x:row r="5">
      <x:c r="A5" s="17" t="str">
        <x:v>Fictional client assumptions</x:v>
      </x:c>
      <x:c r="B5" s="18"/>
      <x:c r="C5" s="18"/>
      <x:c r="D5" s="18"/>
      <x:c r="E5" s="18"/>
      <x:c r="F5" s="19"/>
    </x:row>
    <x:row r="6">
      <x:c r="A6" s="101"/>
      <x:c r="B6" s="101"/>
      <x:c r="C6" s="101"/>
      <x:c r="D6" s="101"/>
      <x:c r="E6" s="101"/>
      <x:c r="F6" s="101"/>
    </x:row>
    <x:row r="7">
      <x:c r="A7" s="45" t="str">
        <x:v>Assumption</x:v>
      </x:c>
      <x:c r="B7" s="45" t="str">
        <x:v>Value</x:v>
      </x:c>
      <x:c r="C7" s="45" t="str">
        <x:v>Unit</x:v>
      </x:c>
      <x:c r="D7" s="45" t="str">
        <x:v>Why it matters</x:v>
      </x:c>
      <x:c r="E7" s="101"/>
      <x:c r="F7" s="101"/>
    </x:row>
    <x:row r="8" ht="52" customHeight="1">
      <x:c r="A8" s="158" t="str">
        <x:v>Long-term pool</x:v>
      </x:c>
      <x:c r="B8" s="166" t="n">
        <x:v>10000000</x:v>
      </x:c>
      <x:c r="C8" s="158" t="str">
        <x:v>£</x:v>
      </x:c>
      <x:c r="D8" s="158" t="str">
        <x:v>Assets considered in this fund selection</x:v>
      </x:c>
      <x:c r="E8" s="101"/>
      <x:c r="F8" s="101"/>
    </x:row>
    <x:row r="9" ht="52" customHeight="1">
      <x:c r="A9" s="161" t="str">
        <x:v>Separate liquidity reserve</x:v>
      </x:c>
      <x:c r="B9" s="167" t="n">
        <x:v>450000</x:v>
      </x:c>
      <x:c r="C9" s="161" t="str">
        <x:v>£</x:v>
      </x:c>
      <x:c r="D9" s="161" t="str">
        <x:v>18 months of planned spending, held outside the fund</x:v>
      </x:c>
      <x:c r="E9" s="101"/>
      <x:c r="F9" s="101"/>
    </x:row>
    <x:row r="10" ht="52" customHeight="1">
      <x:c r="A10" s="161" t="str">
        <x:v>Annual spending</x:v>
      </x:c>
      <x:c r="B10" s="167" t="n">
        <x:v>300000</x:v>
      </x:c>
      <x:c r="C10" s="161" t="str">
        <x:v>£</x:v>
      </x:c>
      <x:c r="D10" s="161" t="str">
        <x:v>3.0% of the long-term pool</x:v>
      </x:c>
      <x:c r="E10" s="101"/>
      <x:c r="F10" s="101"/>
    </x:row>
    <x:row r="11" ht="52" customHeight="1">
      <x:c r="A11" s="161" t="str">
        <x:v>Investment horizon</x:v>
      </x:c>
      <x:c r="B11" s="161" t="str">
        <x:v>More than 10 years</x:v>
      </x:c>
      <x:c r="C11" s="161" t="str"/>
      <x:c r="D11" s="161" t="str">
        <x:v>Supports growth assets but does not remove sequence risk</x:v>
      </x:c>
      <x:c r="E11" s="101"/>
      <x:c r="F11" s="101"/>
    </x:row>
    <x:row r="12" ht="52" customHeight="1">
      <x:c r="A12" s="161" t="str">
        <x:v>Return objective</x:v>
      </x:c>
      <x:c r="B12" s="161" t="str">
        <x:v>UK CPI + 3% a year after fund costs over rolling five-year periods</x:v>
      </x:c>
      <x:c r="C12" s="161" t="str"/>
      <x:c r="D12" s="161" t="str">
        <x:v>At 3% spending, achieving CPI + 3% net would approximately preserve real capital before other cash flows</x:v>
      </x:c>
      <x:c r="E12" s="101"/>
      <x:c r="F12" s="101"/>
    </x:row>
    <x:row r="13" ht="52" customHeight="1">
      <x:c r="A13" s="161" t="str">
        <x:v>Risk governance</x:v>
      </x:c>
      <x:c r="B13" s="161" t="str">
        <x:v>A fall near 15% triggers trustee review; it is not a loss limit or guarantee</x:v>
      </x:c>
      <x:c r="C13" s="161" t="str"/>
      <x:c r="D13" s="161" t="str">
        <x:v>A review trigger is not a guaranteed maximum drawdown</x:v>
      </x:c>
      <x:c r="E13" s="101"/>
      <x:c r="F13" s="101"/>
    </x:row>
    <x:row r="14" ht="52" customHeight="1">
      <x:c r="A14" s="161" t="str">
        <x:v>Liquidity</x:v>
      </x:c>
      <x:c r="B14" s="161" t="str">
        <x:v>Daily or weekly dealing; reserve held outside the long-term pool</x:v>
      </x:c>
      <x:c r="C14" s="161" t="str"/>
      <x:c r="D14" s="161" t="str">
        <x:v>Daily dealing does not guarantee immediate liquidity in stressed markets</x:v>
      </x:c>
      <x:c r="E14" s="101"/>
      <x:c r="F14" s="101"/>
    </x:row>
    <x:row r="15" ht="68" customHeight="1">
      <x:c r="A15" s="161" t="str">
        <x:v>Mission review</x:v>
      </x:c>
      <x:c r="B15" s="161" t="str">
        <x:v>Trustees require explicit look-through review of tobacco, controversial weapons and investments that could conflict with the education mission before appointment</x:v>
      </x:c>
      <x:c r="C15" s="161" t="str"/>
      <x:c r="D15" s="161" t="str">
        <x:v>Trustees must balance mission, reputation and financial effects</x:v>
      </x:c>
      <x:c r="E15" s="101"/>
      <x:c r="F15" s="101"/>
    </x:row>
    <x:row r="16">
      <x:c r="A16" s="101"/>
      <x:c r="B16" s="101"/>
      <x:c r="C16" s="101"/>
      <x:c r="D16" s="101"/>
      <x:c r="E16" s="101"/>
      <x:c r="F16" s="101"/>
    </x:row>
    <x:row r="17">
      <x:c r="A17" s="101"/>
      <x:c r="B17" s="101"/>
      <x:c r="C17" s="101"/>
      <x:c r="D17" s="101"/>
      <x:c r="E17" s="101"/>
      <x:c r="F17" s="101"/>
    </x:row>
    <x:row r="18">
      <x:c r="A18" s="17" t="str">
        <x:v>Pass, review and evidence-gap screen</x:v>
      </x:c>
      <x:c r="B18" s="18"/>
      <x:c r="C18" s="18"/>
      <x:c r="D18" s="18"/>
      <x:c r="E18" s="18"/>
      <x:c r="F18" s="19"/>
    </x:row>
    <x:row r="19">
      <x:c r="A19" s="101"/>
      <x:c r="B19" s="101"/>
      <x:c r="C19" s="101"/>
      <x:c r="D19" s="101"/>
      <x:c r="E19" s="101"/>
      <x:c r="F19" s="101"/>
    </x:row>
    <x:row r="20">
      <x:c r="A20" s="45" t="str">
        <x:v>Criterion</x:v>
      </x:c>
      <x:c r="B20" s="45" t="str">
        <x:v>Cazenove</x:v>
      </x:c>
      <x:c r="C20" s="45" t="str">
        <x:v>Sarasin</x:v>
      </x:c>
      <x:c r="D20" s="45" t="str">
        <x:v>M&amp;G</x:v>
      </x:c>
      <x:c r="E20" s="45" t="str">
        <x:v>Interpretation</x:v>
      </x:c>
      <x:c r="F20" s="101"/>
    </x:row>
    <x:row r="21" ht="40" customHeight="1">
      <x:c r="A21" s="158" t="str">
        <x:v>Eligible UK charity investor</x:v>
      </x:c>
      <x:c r="B21" s="158" t="str">
        <x:v>Pass</x:v>
      </x:c>
      <x:c r="C21" s="158" t="str">
        <x:v>Pass</x:v>
      </x:c>
      <x:c r="D21" s="158" t="str">
        <x:v>Pass</x:v>
      </x:c>
      <x:c r="E21" s="158" t="str">
        <x:v>Used before weighted scoring</x:v>
      </x:c>
      <x:c r="F21" s="101"/>
    </x:row>
    <x:row r="22" ht="40" customHeight="1">
      <x:c r="A22" s="161" t="str">
        <x:v>Exact GBP accumulation share class</x:v>
      </x:c>
      <x:c r="B22" s="161" t="str">
        <x:v>Pass</x:v>
      </x:c>
      <x:c r="C22" s="161" t="str">
        <x:v>Pass</x:v>
      </x:c>
      <x:c r="D22" s="161" t="str">
        <x:v>Pass</x:v>
      </x:c>
      <x:c r="E22" s="161" t="str">
        <x:v>Used before weighted scoring</x:v>
      </x:c>
      <x:c r="F22" s="101"/>
    </x:row>
    <x:row r="23" ht="40" customHeight="1">
      <x:c r="A23" s="161" t="str">
        <x:v>Daily dealing and workable settlement</x:v>
      </x:c>
      <x:c r="B23" s="161" t="str">
        <x:v>Pass</x:v>
      </x:c>
      <x:c r="C23" s="161" t="str">
        <x:v>Pass</x:v>
      </x:c>
      <x:c r="D23" s="161" t="str">
        <x:v>Pass</x:v>
      </x:c>
      <x:c r="E23" s="161" t="str">
        <x:v>Used before weighted scoring</x:v>
      </x:c>
      <x:c r="F23" s="101"/>
    </x:row>
    <x:row r="24" ht="40" customHeight="1">
      <x:c r="A24" s="161" t="str">
        <x:v>At least five years of live share-class history</x:v>
      </x:c>
      <x:c r="B24" s="161" t="str">
        <x:v>Pass</x:v>
      </x:c>
      <x:c r="C24" s="161" t="str">
        <x:v>Pass</x:v>
      </x:c>
      <x:c r="D24" s="161" t="str">
        <x:v>Pass</x:v>
      </x:c>
      <x:c r="E24" s="161" t="str">
        <x:v>Used before weighted scoring</x:v>
      </x:c>
      <x:c r="F24" s="101"/>
    </x:row>
    <x:row r="25" ht="40" customHeight="1">
      <x:c r="A25" s="161" t="str">
        <x:v>Objective plausibly supports spending and real value</x:v>
      </x:c>
      <x:c r="B25" s="161" t="str">
        <x:v>Pass</x:v>
      </x:c>
      <x:c r="C25" s="161" t="str">
        <x:v>Pass</x:v>
      </x:c>
      <x:c r="D25" s="161" t="str">
        <x:v>Review</x:v>
      </x:c>
      <x:c r="E25" s="161" t="str">
        <x:v>Used before weighted scoring</x:v>
      </x:c>
      <x:c r="F25" s="101"/>
    </x:row>
    <x:row r="26" ht="40" customHeight="1">
      <x:c r="A26" s="161" t="str">
        <x:v>Mission approach is sufficiently explicit for trustee review</x:v>
      </x:c>
      <x:c r="B26" s="161" t="str">
        <x:v>Review</x:v>
      </x:c>
      <x:c r="C26" s="161" t="str">
        <x:v>Pass with caveat</x:v>
      </x:c>
      <x:c r="D26" s="161" t="str">
        <x:v>Review</x:v>
      </x:c>
      <x:c r="E26" s="161" t="str">
        <x:v>Used before weighted scoring</x:v>
      </x:c>
      <x:c r="F26" s="101"/>
    </x:row>
    <x:row r="27" ht="40" customHeight="1">
      <x:c r="A27" s="161" t="str">
        <x:v>Public evidence is sufficient for final appointment</x:v>
      </x:c>
      <x:c r="B27" s="161" t="str">
        <x:v>Insufficient</x:v>
      </x:c>
      <x:c r="C27" s="161" t="str">
        <x:v>Insufficient</x:v>
      </x:c>
      <x:c r="D27" s="161" t="str">
        <x:v>Insufficient</x:v>
      </x:c>
      <x:c r="E27" s="161" t="str">
        <x:v>None is ready for final appointment from public documents alone</x:v>
      </x:c>
      <x:c r="F27" s="101"/>
    </x:row>
    <x:row r="28">
      <x:c r="A28" s="101"/>
      <x:c r="B28" s="101"/>
      <x:c r="C28" s="101"/>
      <x:c r="D28" s="101"/>
      <x:c r="E28" s="101"/>
      <x:c r="F28" s="101"/>
    </x:row>
    <x:row r="29">
      <x:c r="A29" s="95" t="str">
        <x:v>Mandate challenge: CPI + 3% net is internally consistent with a 3% spending rule if achieved, but it is not a forecast. The reserve covers planned spending while markets recover; it does not protect the invested pool from loss. Trustees would still need independent advice and a written investment policy. [G1]</x:v>
      </x:c>
      <x:c r="B29" s="96"/>
      <x:c r="C29" s="96"/>
      <x:c r="D29" s="96"/>
      <x:c r="E29" s="97"/>
      <x:c r="F29" s="101"/>
    </x:row>
    <x:row r="30">
      <x:c r="A30" s="112"/>
      <x:c r="B30" s="113"/>
      <x:c r="C30" s="113"/>
      <x:c r="D30" s="113"/>
      <x:c r="E30" s="114"/>
      <x:c r="F30" s="101"/>
    </x:row>
    <x:row r="31">
      <x:c r="A31" s="98"/>
      <x:c r="B31" s="99"/>
      <x:c r="C31" s="99"/>
      <x:c r="D31" s="99"/>
      <x:c r="E31" s="100"/>
      <x:c r="F31" s="101"/>
    </x:row>
  </x:sheetData>
  <x:mergeCells>
    <x:mergeCell ref="A3:F3"/>
    <x:mergeCell ref="A5:F5"/>
    <x:mergeCell ref="A18:F18"/>
    <x:mergeCell ref="A29:E31"/>
  </x:mergeCells>
  <x:conditionalFormatting sqref="B21:D27">
    <x:cfRule type="expression" dxfId="0" priority="1">
      <x:formula>B21="Pass"</x:formula>
    </x:cfRule>
    <x:cfRule type="expression" dxfId="1" priority="2">
      <x:formula>OR(ISNUMBER(SEARCH("Review",B21)),ISNUMBER(SEARCH("caveat",B21)))</x:formula>
    </x:cfRule>
    <x:cfRule type="expression" dxfId="2" priority="3">
      <x:formula>B21="Insufficient"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5D7E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.329999923706055" hidden="0" customWidth="1"/>
    <x:col min="2" max="2" width="32.220001220703125" hidden="0" customWidth="1"/>
    <x:col min="3" max="3" width="32.220001220703125" hidden="0" customWidth="1"/>
    <x:col min="4" max="4" width="32.220001220703125" hidden="0" customWidth="1"/>
    <x:col min="5" max="5" width="15" hidden="0" customWidth="1"/>
    <x:col min="6" max="6" width="29.440000534057617" hidden="0" customWidth="1"/>
  </x:cols>
  <x:sheetData>
    <x:row r="1">
      <x:c r="A1" s="101"/>
      <x:c r="B1" s="101"/>
      <x:c r="C1" s="101"/>
      <x:c r="D1" s="101"/>
      <x:c r="E1" s="101"/>
      <x:c r="F1" s="101"/>
    </x:row>
    <x:row r="2" ht="26" customHeight="1">
      <x:c r="A2" s="152" t="str">
        <x:v>Comparable Evidence by Exact Share Class</x:v>
      </x:c>
      <x:c r="B2" s="153"/>
      <x:c r="C2" s="153"/>
      <x:c r="D2" s="153"/>
      <x:c r="E2" s="153"/>
      <x:c r="F2" s="153"/>
    </x:row>
    <x:row r="3" ht="30" customHeight="1">
      <x:c r="A3" s="154" t="str">
        <x:v>Facts use official manager, fund and Charity Commission documents. Dates and definitions are retained because they are not fully uniform.</x:v>
      </x:c>
      <x:c r="B3" s="154"/>
      <x:c r="C3" s="154"/>
      <x:c r="D3" s="154"/>
      <x:c r="E3" s="154"/>
      <x:c r="F3" s="154"/>
    </x:row>
    <x:row r="4">
      <x:c r="A4" s="101"/>
      <x:c r="B4" s="101"/>
      <x:c r="C4" s="101"/>
      <x:c r="D4" s="101"/>
      <x:c r="E4" s="101"/>
      <x:c r="F4" s="101"/>
    </x:row>
    <x:row r="5">
      <x:c r="A5" s="17" t="str">
        <x:v>Numeric comparison</x:v>
      </x:c>
      <x:c r="B5" s="18"/>
      <x:c r="C5" s="18"/>
      <x:c r="D5" s="18"/>
      <x:c r="E5" s="18"/>
      <x:c r="F5" s="19"/>
    </x:row>
    <x:row r="6">
      <x:c r="A6" s="101"/>
      <x:c r="B6" s="101"/>
      <x:c r="C6" s="101"/>
      <x:c r="D6" s="101"/>
      <x:c r="E6" s="101"/>
      <x:c r="F6" s="101"/>
    </x:row>
    <x:row r="7">
      <x:c r="A7" s="45" t="str">
        <x:v>Metric</x:v>
      </x:c>
      <x:c r="B7" s="45" t="str">
        <x:v>Cazenove</x:v>
      </x:c>
      <x:c r="C7" s="45" t="str">
        <x:v>Sarasin</x:v>
      </x:c>
      <x:c r="D7" s="45" t="str">
        <x:v>M&amp;G</x:v>
      </x:c>
      <x:c r="E7" s="45" t="str">
        <x:v>Unit</x:v>
      </x:c>
      <x:c r="F7" s="45" t="str">
        <x:v>Caution</x:v>
      </x:c>
    </x:row>
    <x:row r="8" ht="38" customHeight="1">
      <x:c r="A8" s="158" t="str">
        <x:v>OCF</x:v>
      </x:c>
      <x:c r="B8" s="168" t="n">
        <x:v>0.0065</x:v>
      </x:c>
      <x:c r="C8" s="168" t="n">
        <x:v>0.0094</x:v>
      </x:c>
      <x:c r="D8" s="168" t="n">
        <x:v>0.005</x:v>
      </x:c>
      <x:c r="E8" s="158" t="str">
        <x:v>% a year</x:v>
      </x:c>
      <x:c r="F8" s="158" t="str">
        <x:v>M&amp;G also publishes a 0.60% total product-cost illustration</x:v>
      </x:c>
    </x:row>
    <x:row r="9" ht="38" customHeight="1">
      <x:c r="A9" s="161" t="str">
        <x:v>Transaction cost</x:v>
      </x:c>
      <x:c r="B9" s="169" t="n">
        <x:v>0.0013</x:v>
      </x:c>
      <x:c r="C9" s="169" t="n">
        <x:v>0.0016</x:v>
      </x:c>
      <x:c r="D9" s="169" t="n">
        <x:v>0.00098</x:v>
      </x:c>
      <x:c r="E9" s="161" t="str">
        <x:v>% a year</x:v>
      </x:c>
      <x:c r="F9" s="161" t="str">
        <x:v>Dates and methods differ; not a complete all-in comparison</x:v>
      </x:c>
    </x:row>
    <x:row r="10" ht="38" customHeight="1">
      <x:c r="A10" s="161" t="str">
        <x:v>Latest equity exposure</x:v>
      </x:c>
      <x:c r="B10" s="169" t="n">
        <x:v>0.767</x:v>
      </x:c>
      <x:c r="C10" s="169" t="n">
        <x:v>0.752</x:v>
      </x:c>
      <x:c r="D10" s="169"/>
      <x:c r="E10" s="161" t="str">
        <x:v>% of fund</x:v>
      </x:c>
      <x:c r="F10" s="161" t="str">
        <x:v>M&amp;G discloses a 60–90% policy range, not a comparable current split</x:v>
      </x:c>
    </x:row>
    <x:row r="11" ht="38" customHeight="1">
      <x:c r="A11" s="161" t="str">
        <x:v>Latest five-year net return</x:v>
      </x:c>
      <x:c r="B11" s="169" t="n">
        <x:v>0.068</x:v>
      </x:c>
      <x:c r="C11" s="169" t="n">
        <x:v>0.0485</x:v>
      </x:c>
      <x:c r="D11" s="169" t="n">
        <x:v>0.0816</x:v>
      </x:c>
      <x:c r="E11" s="161" t="str">
        <x:v>% a year</x:v>
      </x:c>
      <x:c r="F11" s="161" t="str">
        <x:v>As at 30 Jun, 31 Jul and 31 Aug 2026 respectively</x:v>
      </x:c>
    </x:row>
    <x:row r="12" ht="38" customHeight="1">
      <x:c r="A12" s="161" t="str">
        <x:v>Five-year target/comparator</x:v>
      </x:c>
      <x:c r="B12" s="169" t="n">
        <x:v>0.092</x:v>
      </x:c>
      <x:c r="C12" s="169" t="n">
        <x:v>0.0926</x:v>
      </x:c>
      <x:c r="D12" s="169" t="n">
        <x:v>0.0868</x:v>
      </x:c>
      <x:c r="E12" s="161" t="str">
        <x:v>% a year</x:v>
      </x:c>
      <x:c r="F12" s="161" t="str">
        <x:v>Cazenove's formal objective is measured over ten years</x:v>
      </x:c>
    </x:row>
    <x:row r="13" ht="38" customHeight="1">
      <x:c r="A13" s="161" t="str">
        <x:v>Five-year gap</x:v>
      </x:c>
      <x:c r="B13" s="169" t="n">
        <x:f>B11-B12</x:f>
        <x:v>-0.023999999999999994</x:v>
      </x:c>
      <x:c r="C13" s="169" t="n">
        <x:f>C11-C12</x:f>
        <x:v>-0.0441</x:v>
      </x:c>
      <x:c r="D13" s="169" t="n">
        <x:f>D11-D12</x:f>
        <x:v>-0.005199999999999996</x:v>
      </x:c>
      <x:c r="E13" s="161" t="str">
        <x:v>percentage points</x:v>
      </x:c>
      <x:c r="F13" s="161" t="str">
        <x:v>Negative means the disclosed result was below target/comparator</x:v>
      </x:c>
    </x:row>
    <x:row r="14" ht="38" customHeight="1">
      <x:c r="A14" s="161" t="str">
        <x:v>Fund size</x:v>
      </x:c>
      <x:c r="B14" s="170" t="n">
        <x:v>1095.4</x:v>
      </x:c>
      <x:c r="C14" s="170" t="n">
        <x:v>2115.8</x:v>
      </x:c>
      <x:c r="D14" s="170" t="n">
        <x:v>302.35</x:v>
      </x:c>
      <x:c r="E14" s="161" t="str">
        <x:v>£m</x:v>
      </x:c>
      <x:c r="F14" s="161" t="str">
        <x:v>As at 30 Jun, 18 Sep and 31 Aug 2026 respectively</x:v>
      </x:c>
    </x:row>
    <x:row r="15" ht="38" customHeight="1">
      <x:c r="A15" s="161" t="str">
        <x:v>Risk indicator</x:v>
      </x:c>
      <x:c r="B15" s="171"/>
      <x:c r="C15" s="171" t="n">
        <x:v>4</x:v>
      </x:c>
      <x:c r="D15" s="171" t="n">
        <x:v>4</x:v>
      </x:c>
      <x:c r="E15" s="161" t="str">
        <x:v>1–7</x:v>
      </x:c>
      <x:c r="F15" s="161" t="str">
        <x:v>Cazenove highlight is not preserved in the public text layer; do not guess</x:v>
      </x:c>
    </x:row>
    <x:row r="16">
      <x:c r="A16" s="101"/>
      <x:c r="B16" s="101"/>
      <x:c r="C16" s="101"/>
      <x:c r="D16" s="101"/>
      <x:c r="E16" s="101"/>
      <x:c r="F16" s="101"/>
    </x:row>
    <x:row r="17">
      <x:c r="A17" s="17" t="str">
        <x:v>Qualitative comparison</x:v>
      </x:c>
      <x:c r="B17" s="18"/>
      <x:c r="C17" s="18"/>
      <x:c r="D17" s="18"/>
      <x:c r="E17" s="18"/>
      <x:c r="F17" s="19"/>
    </x:row>
    <x:row r="18">
      <x:c r="A18" s="101"/>
      <x:c r="B18" s="101"/>
      <x:c r="C18" s="101"/>
      <x:c r="D18" s="101"/>
      <x:c r="E18" s="101"/>
      <x:c r="F18" s="101"/>
    </x:row>
    <x:row r="19">
      <x:c r="A19" s="45" t="str">
        <x:v>Metric</x:v>
      </x:c>
      <x:c r="B19" s="45" t="str">
        <x:v>Cazenove</x:v>
      </x:c>
      <x:c r="C19" s="45" t="str">
        <x:v>Sarasin</x:v>
      </x:c>
      <x:c r="D19" s="45" t="str">
        <x:v>M&amp;G</x:v>
      </x:c>
      <x:c r="E19" s="45" t="str">
        <x:v>Source IDs</x:v>
      </x:c>
      <x:c r="F19" s="45" t="str">
        <x:v>Decision relevance</x:v>
      </x:c>
    </x:row>
    <x:row r="20" ht="66" customHeight="1">
      <x:c r="A20" s="158" t="str">
        <x:v>Exact fund / share class</x:v>
      </x:c>
      <x:c r="B20" s="158" t="str">
        <x:v>SUTL Cazenove Charity Multi-Asset Fund
Class Z Accumulation GBP
GB00BF783Y68</x:v>
      </x:c>
      <x:c r="C20" s="158" t="str">
        <x:v>Sarasin Endowments Fund
A Accumulation GBP
GB00BYZJN999</x:v>
      </x:c>
      <x:c r="D20" s="158" t="str">
        <x:v>M&amp;G Charity Multi Asset Fund
Sterling Class Accumulation
GB00BK1KFR05</x:v>
      </x:c>
      <x:c r="E20" s="158" t="str">
        <x:v>C1–C3; S1–S2; M1–M2</x:v>
      </x:c>
      <x:c r="F20" s="158" t="str">
        <x:v>Avoid comparing different share classes or distribution conventions</x:v>
      </x:c>
    </x:row>
    <x:row r="21" ht="66" customHeight="1">
      <x:c r="A21" s="161" t="str">
        <x:v>Eligibility and minimum</x:v>
      </x:c>
      <x:c r="B21" s="161" t="str">
        <x:v>Eligible UK charities; £10,000 initial and minimum holding</x:v>
      </x:c>
      <x:c r="C21" s="161" t="str">
        <x:v>Eligible UK charities; £1,000 initial and minimum holding</x:v>
      </x:c>
      <x:c r="D21" s="161" t="str">
        <x:v>UK charities; minimum one unit</x:v>
      </x:c>
      <x:c r="E21" s="161" t="str">
        <x:v>C3; S2; M1/M5</x:v>
      </x:c>
      <x:c r="F21" s="161" t="str">
        <x:v>All pass the basic charity-access and exact-share-class checks</x:v>
      </x:c>
    </x:row>
    <x:row r="22" ht="66" customHeight="1">
      <x:c r="A22" s="161" t="str">
        <x:v>Objective</x:v>
      </x:c>
      <x:c r="B22" s="161" t="str">
        <x:v>Exceed UK CPI + 4% a year after fees over rolling ten-year periods</x:v>
      </x:c>
      <x:c r="C22" s="161" t="str">
        <x:v>Exceed UK CPI + 4% a year after fees over rolling five-year periods</x:v>
      </x:c>
      <x:c r="D22" s="161" t="str">
        <x:v>Outperform a 75% equity / 25% bond composite over five years and deliver at least 3% annual yield</x:v>
      </x:c>
      <x:c r="E22" s="161" t="str">
        <x:v>C1–C3; S1–S2; M1–M2</x:v>
      </x:c>
      <x:c r="F22" s="161" t="str">
        <x:v>Only Cazenove and Sarasin state a direct inflation-plus target</x:v>
      </x:c>
    </x:row>
    <x:row r="23" ht="66" customHeight="1">
      <x:c r="A23" s="161" t="str">
        <x:v>Target-horizon evidence</x:v>
      </x:c>
      <x:c r="B23" s="161" t="str">
        <x:v>Ten years to 30 Jun 2026; the manager's disclosed target series used RPI to 30 Jun 2018 and CPI thereafter: 6.6% vs 7.9%</x:v>
      </x:c>
      <x:c r="C23" s="161" t="str">
        <x:v>Five years to 31 Jul 2026: 4.85% vs 9.26%</x:v>
      </x:c>
      <x:c r="D23" s="161" t="str">
        <x:v>Five years to 31 Aug 2026: 8.16% vs 8.68%</x:v>
      </x:c>
      <x:c r="E23" s="161" t="str">
        <x:v>C1; S1; M1</x:v>
      </x:c>
      <x:c r="F23" s="161" t="str">
        <x:v>All missed the latest disclosed target; attribution is required</x:v>
      </x:c>
    </x:row>
    <x:row r="24" ht="66" customHeight="1">
      <x:c r="A24" s="161" t="str">
        <x:v>Liquidity</x:v>
      </x:c>
      <x:c r="B24" s="161" t="str">
        <x:v>Daily, 12:00 cut-off; settlement within four business days; large redemptions may be deferred</x:v>
      </x:c>
      <x:c r="C24" s="161" t="str">
        <x:v>Daily, 11:59 cut-off; normally T+3; large redemptions may be deferred</x:v>
      </x:c>
      <x:c r="D24" s="161" t="str">
        <x:v>Daily, 12:00 cut-off; proceeds normally T+3; exceptional suspension is possible</x:v>
      </x:c>
      <x:c r="E24" s="161" t="str">
        <x:v>C3; S2; M2/M5</x:v>
      </x:c>
      <x:c r="F24" s="161" t="str">
        <x:v>Daily dealing is compatible, but deferral and suspension remain possible</x:v>
      </x:c>
    </x:row>
    <x:row r="25" ht="66" customHeight="1">
      <x:c r="A25" s="161" t="str">
        <x:v>Allocation / process</x:v>
      </x:c>
      <x:c r="B25" s="161" t="str">
        <x:v>76.7% equities; 6.9% bonds; 3.4% property; 9.2% diversifiers; 3.7% cash</x:v>
      </x:c>
      <x:c r="C25" s="161" t="str">
        <x:v>75.2% equities; 13.7% alternatives; 10.2% fixed income; 0.9% liquid assets</x:v>
      </x:c>
      <x:c r="D25" s="161" t="str">
        <x:v>Policy range: 60–90% equities; 0–40% bonds and cash; 0–15% other assets. Current factsheet lists 15 holdings but no directly comparable current asset-class table</x:v>
      </x:c>
      <x:c r="E25" s="161" t="str">
        <x:v>C1–C2; S1–S2; M1–M2</x:v>
      </x:c>
      <x:c r="F25" s="161" t="str">
        <x:v>Shows what is expected to drive return and loss</x:v>
      </x:c>
    </x:row>
    <x:row r="26" ht="66" customHeight="1">
      <x:c r="A26" s="161" t="str">
        <x:v>Stress evidence</x:v>
      </x:c>
      <x:c r="B26" s="161" t="str">
        <x:v>-2.9% in the twelve months to 30 Jun 2022; period is not a calendar year</x:v>
      </x:c>
      <x:c r="C26" s="161" t="str">
        <x:v>-9.8% in calendar 2022</x:v>
      </x:c>
      <x:c r="D26" s="161" t="str">
        <x:v>+0.8% in calendar 2022</x:v>
      </x:c>
      <x:c r="E26" s="161" t="str">
        <x:v>C1; S2/S3; M2</x:v>
      </x:c>
      <x:c r="F26" s="161" t="str">
        <x:v>Periods are not fully aligned; use as questions, not a ranking</x:v>
      </x:c>
    </x:row>
    <x:row r="27" ht="66" customHeight="1">
      <x:c r="A27" s="161" t="str">
        <x:v>Mission / stewardship</x:v>
      </x:c>
      <x:c r="B27" s="161" t="str">
        <x:v>No fund-specific binding tobacco or weapons exclusions identified; firm-level stewardship is not the same as a product screen</x:v>
      </x:c>
      <x:c r="C27" s="161" t="str">
        <x:v>Explicit tobacco, weapons, gambling, alcohol and adult-entertainment screens plus stewardship; indirect external funds may not meet every screen</x:v>
      </x:c>
      <x:c r="D27" s="161" t="str">
        <x:v>No product-specific climate-engagement strategy; reviewed public documents do not establish a comprehensive tobacco or controversial-weapons screen</x:v>
      </x:c>
      <x:c r="E27" s="161" t="str">
        <x:v>C2–C5; S2/S4/S5; M4</x:v>
      </x:c>
      <x:c r="F27" s="161" t="str">
        <x:v>Trustees must decide whether screens and look-through are sufficient</x:v>
      </x:c>
    </x:row>
    <x:row r="28" ht="66" customHeight="1">
      <x:c r="A28" s="161" t="str">
        <x:v>Governance</x:v>
      </x:c>
      <x:c r="B28" s="161" t="str">
        <x:v>Named charity team and a consultative CAIF Advisory Committee; affiliated-fund conflicts still require review</x:v>
      </x:c>
      <x:c r="C28" s="161" t="str">
        <x:v>Named multi-asset team and Advisory Committee; the 0.93% and 0.94% public OCF figures require reconciliation</x:v>
      </x:c>
      <x:c r="D28" s="161" t="str">
        <x:v>Manager and deputies are named; the fund uses 15 underlying holdings, many affiliated with M&amp;G, so selection and fee conflicts require clarification</x:v>
      </x:c>
      <x:c r="E28" s="161" t="str">
        <x:v>C3/C5; S2/S6; M1/M2</x:v>
      </x:c>
      <x:c r="F28" s="161" t="str">
        <x:v>Public governance evidence varies; disclosed figures and affiliated-fund conflicts require clarification</x:v>
      </x:c>
    </x:row>
    <x:row r="29" ht="66" customHeight="1">
      <x:c r="A29" s="161" t="str">
        <x:v>History caveat</x:v>
      </x:c>
      <x:c r="B29" s="161" t="str">
        <x:v>15 Jun 2018; earlier published history is spliced from the predecessor CIF</x:v>
      </x:c>
      <x:c r="C29" s="161" t="str">
        <x:v>23 Feb 2018; earlier published history is spliced from a predecessor fund</x:v>
      </x:c>
      <x:c r="D29" s="161" t="str">
        <x:v>15 Nov 2019 following conversion of the predecessor common investment fund</x:v>
      </x:c>
      <x:c r="E29" s="161" t="str">
        <x:v>C1/C2; S1/S3; M1/M2</x:v>
      </x:c>
      <x:c r="F29" s="161" t="str">
        <x:v>Predecessor history is not identical to live share-class history</x:v>
      </x:c>
    </x:row>
    <x:row r="30">
      <x:c r="A30" s="101"/>
      <x:c r="B30" s="101"/>
      <x:c r="C30" s="101"/>
      <x:c r="D30" s="101"/>
      <x:c r="E30" s="101"/>
      <x:c r="F30" s="101"/>
    </x:row>
  </x:sheetData>
  <x:mergeCells>
    <x:mergeCell ref="A3:F3"/>
    <x:mergeCell ref="A5:F5"/>
    <x:mergeCell ref="A17:F17"/>
  </x:mergeCells>
  <x:conditionalFormatting sqref="B13:D13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5D7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1.670000076293945" hidden="0" customWidth="1"/>
    <x:col min="3" max="3" width="11.67000007629394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0.5600004196167" hidden="0" customWidth="1"/>
    <x:col min="8" max="8" width="35.560001373291016" hidden="0" customWidth="1"/>
    <x:col min="9" max="9" width="10.5600004196167" hidden="0" customWidth="1"/>
    <x:col min="10" max="10" width="35.560001373291016" hidden="0" customWidth="1"/>
    <x:col min="11" max="11" width="10.5600004196167" hidden="0" customWidth="1"/>
    <x:col min="12" max="12" width="35.560001373291016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</x:row>
    <x:row r="2" ht="26" customHeight="1">
      <x:c r="A2" s="152" t="str">
        <x:v>Evidence-Supported Suitability Scorecard and Sensitivity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</x:row>
    <x:row r="3" ht="30" customHeight="1">
      <x:c r="A3" s="154" t="str">
        <x:v>Whole-number scores combine evidence quality and fit with this mandate. Change the selected priority on Decision Summary.</x:v>
      </x:c>
      <x:c r="B3" s="154"/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</x:row>
    <x:row r="4">
      <x:c r="A4" s="101" t="str">
        <x:v>Selected priority</x:v>
      </x:c>
      <x:c r="B4" s="172" t="str">
        <x:f>'Decision Summary'!C4</x:f>
        <x:v>Base</x:v>
      </x:c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</x:row>
    <x:row r="5">
      <x:c r="A5" s="101"/>
      <x:c r="B5" s="173" t="str">
        <x:v>Base</x:v>
      </x:c>
      <x:c r="C5" s="173" t="str">
        <x:v>Preservation-first</x:v>
      </x:c>
      <x:c r="D5" s="173" t="str">
        <x:v>Cost-first</x:v>
      </x:c>
      <x:c r="E5" s="173" t="str">
        <x:v>Mission-first</x:v>
      </x:c>
      <x:c r="F5" s="101"/>
      <x:c r="G5" s="101"/>
      <x:c r="H5" s="101"/>
      <x:c r="I5" s="101"/>
      <x:c r="J5" s="101"/>
      <x:c r="K5" s="101"/>
      <x:c r="L5" s="101"/>
    </x:row>
    <x:row r="6">
      <x:c r="A6" s="45" t="str">
        <x:v>Dimension</x:v>
      </x:c>
      <x:c r="B6" s="45" t="str">
        <x:v>Base</x:v>
      </x:c>
      <x:c r="C6" s="45" t="str">
        <x:v>Preservation-first</x:v>
      </x:c>
      <x:c r="D6" s="45" t="str">
        <x:v>Cost-first</x:v>
      </x:c>
      <x:c r="E6" s="45" t="str">
        <x:v>Mission-first</x:v>
      </x:c>
      <x:c r="F6" s="45" t="str">
        <x:v>Active weight</x:v>
      </x:c>
      <x:c r="G6" s="45" t="str">
        <x:v>Cazenove score</x:v>
      </x:c>
      <x:c r="H6" s="45" t="str">
        <x:v>Cazenove rationale</x:v>
      </x:c>
      <x:c r="I6" s="45" t="str">
        <x:v>Sarasin score</x:v>
      </x:c>
      <x:c r="J6" s="45" t="str">
        <x:v>Sarasin rationale</x:v>
      </x:c>
      <x:c r="K6" s="45" t="str">
        <x:v>M&amp;G score</x:v>
      </x:c>
      <x:c r="L6" s="45" t="str">
        <x:v>M&amp;G rationale</x:v>
      </x:c>
    </x:row>
    <x:row r="7" ht="64" customHeight="1">
      <x:c r="A7" s="158" t="str">
        <x:v>Client objective fit</x:v>
      </x:c>
      <x:c r="B7" s="174" t="n">
        <x:v>25</x:v>
      </x:c>
      <x:c r="C7" s="174" t="n">
        <x:v>20</x:v>
      </x:c>
      <x:c r="D7" s="174" t="n">
        <x:v>15</x:v>
      </x:c>
      <x:c r="E7" s="174" t="n">
        <x:v>20</x:v>
      </x:c>
      <x:c r="F7" s="175" t="n">
        <x:f>INDEX(B7:E7,1,MATCH($B$4,$B$5:$E$5,0))</x:f>
        <x:v>25</x:v>
      </x:c>
      <x:c r="G7" s="174" t="n">
        <x:v>4</x:v>
      </x:c>
      <x:c r="H7" s="158" t="str">
        <x:v>[C1-C3] Direct real-return objective after fees, but the latest ten-year return was 6.6% versus the manager's 7.9% disclosed target series, which transitions from RPI to CPI and includes predecessor history.</x:v>
      </x:c>
      <x:c r="I7" s="174" t="n">
        <x:v>3</x:v>
      </x:c>
      <x:c r="J7" s="158" t="str">
        <x:v>[S1-S2] The stated CPI + 4% objective matches the case, but five-year net return was 4.85% versus a 9.26% target.</x:v>
      </x:c>
      <x:c r="K7" s="174" t="n">
        <x:v>3</x:v>
      </x:c>
      <x:c r="L7" s="158" t="str">
        <x:v>[M1-M2] A 3% yield target supports spending, but the capital-growth target is a market composite rather than CPI + 3%.</x:v>
      </x:c>
    </x:row>
    <x:row r="8" ht="64" customHeight="1">
      <x:c r="A8" s="161" t="str">
        <x:v>Risk and downside evidence</x:v>
      </x:c>
      <x:c r="B8" s="176" t="n">
        <x:v>25</x:v>
      </x:c>
      <x:c r="C8" s="176" t="n">
        <x:v>35</x:v>
      </x:c>
      <x:c r="D8" s="176" t="n">
        <x:v>15</x:v>
      </x:c>
      <x:c r="E8" s="176" t="n">
        <x:v>20</x:v>
      </x:c>
      <x:c r="F8" s="177" t="n">
        <x:f>INDEX(B8:E8,1,MATCH($B$4,$B$5:$E$5,0))</x:f>
        <x:v>25</x:v>
      </x:c>
      <x:c r="G8" s="176" t="n">
        <x:v>3</x:v>
      </x:c>
      <x:c r="H8" s="161" t="str">
        <x:v>[C1-C3] High equity exposure plus alternatives and possible look-through leverage; no public maximum-drawdown or recovery series.</x:v>
      </x:c>
      <x:c r="I8" s="176" t="n">
        <x:v>3</x:v>
      </x:c>
      <x:c r="J8" s="161" t="str">
        <x:v>[S1-S3] Risk indicator is 4, but equities and alternatives dominate; 2022 returned -9.8% and maximum drawdown is not public.</x:v>
      </x:c>
      <x:c r="K8" s="176" t="n">
        <x:v>3</x:v>
      </x:c>
      <x:c r="L8" s="161" t="str">
        <x:v>[M1-M2] Risk indicator is 4 and calendar 2022 was positive, but one stress period is insufficient: the fund can hold 90% equities and maximum drawdown is not public.</x:v>
      </x:c>
    </x:row>
    <x:row r="9" ht="64" customHeight="1">
      <x:c r="A9" s="161" t="str">
        <x:v>Diversification and process</x:v>
      </x:c>
      <x:c r="B9" s="176" t="n">
        <x:v>15</x:v>
      </x:c>
      <x:c r="C9" s="176" t="n">
        <x:v>20</x:v>
      </x:c>
      <x:c r="D9" s="176" t="n">
        <x:v>15</x:v>
      </x:c>
      <x:c r="E9" s="176" t="n">
        <x:v>15</x:v>
      </x:c>
      <x:c r="F9" s="177" t="n">
        <x:f>INDEX(B9:E9,1,MATCH($B$4,$B$5:$E$5,0))</x:f>
        <x:v>15</x:v>
      </x:c>
      <x:c r="G9" s="176" t="n">
        <x:v>4</x:v>
      </x:c>
      <x:c r="H9" s="161" t="str">
        <x:v>[C1-C3] Broad asset and manager mix with dynamic allocation, although equities remain the main risk source.</x:v>
      </x:c>
      <x:c r="I9" s="176" t="n">
        <x:v>4</x:v>
      </x:c>
      <x:c r="J9" s="161" t="str">
        <x:v>[S1-S2] Global multi-asset and thematic process is well described, with look-through liquidity still required for alternatives.</x:v>
      </x:c>
      <x:c r="K9" s="176" t="n">
        <x:v>3</x:v>
      </x:c>
      <x:c r="L9" s="161" t="str">
        <x:v>[M1-M2] Flexible multi-asset process, offset by concentration in 15 funds, affiliated products and long-duration gilt exposure.</x:v>
      </x:c>
    </x:row>
    <x:row r="10" ht="64" customHeight="1">
      <x:c r="A10" s="161" t="str">
        <x:v>Fees and implementation</x:v>
      </x:c>
      <x:c r="B10" s="176" t="n">
        <x:v>15</x:v>
      </x:c>
      <x:c r="C10" s="176" t="n">
        <x:v>10</x:v>
      </x:c>
      <x:c r="D10" s="176" t="n">
        <x:v>45</x:v>
      </x:c>
      <x:c r="E10" s="176" t="n">
        <x:v>10</x:v>
      </x:c>
      <x:c r="F10" s="177" t="n">
        <x:f>INDEX(B10:E10,1,MATCH($B$4,$B$5:$E$5,0))</x:f>
        <x:v>15</x:v>
      </x:c>
      <x:c r="G10" s="176" t="n">
        <x:v>4</x:v>
      </x:c>
      <x:c r="H10" s="161" t="str">
        <x:v>[C1, C4] OCF is below Sarasin's, but transaction and underlying-fund costs need a current reconciliation.</x:v>
      </x:c>
      <x:c r="I10" s="176" t="n">
        <x:v>2</x:v>
      </x:c>
      <x:c r="J10" s="161" t="str">
        <x:v>[S1-S3, S6] The highest disclosed cost of the three, with document differences and omitted underlying closed-ended costs.</x:v>
      </x:c>
      <x:c r="K10" s="176" t="n">
        <x:v>5</x:v>
      </x:c>
      <x:c r="L10" s="161" t="str">
        <x:v>[M1-M3] Lowest disclosed cost: 0.60% total product cost in the official illustration.</x:v>
      </x:c>
    </x:row>
    <x:row r="11" ht="64" customHeight="1">
      <x:c r="A11" s="161" t="str">
        <x:v>Mission and stewardship</x:v>
      </x:c>
      <x:c r="B11" s="176" t="n">
        <x:v>15</x:v>
      </x:c>
      <x:c r="C11" s="176" t="n">
        <x:v>10</x:v>
      </x:c>
      <x:c r="D11" s="176" t="n">
        <x:v>5</x:v>
      </x:c>
      <x:c r="E11" s="176" t="n">
        <x:v>30</x:v>
      </x:c>
      <x:c r="F11" s="177" t="n">
        <x:f>INDEX(B11:E11,1,MATCH($B$4,$B$5:$E$5,0))</x:f>
        <x:v>15</x:v>
      </x:c>
      <x:c r="G11" s="176" t="n">
        <x:v>2</x:v>
      </x:c>
      <x:c r="H11" s="161" t="str">
        <x:v>[C2-C5] No binding product-level tobacco or weapons screen was found in the reviewed documents.</x:v>
      </x:c>
      <x:c r="I11" s="176" t="n">
        <x:v>4</x:v>
      </x:c>
      <x:c r="J11" s="161" t="str">
        <x:v>[S2, S4-S5] The strongest product-level exclusions and stewardship evidence, tempered by incomplete look-through application.</x:v>
      </x:c>
      <x:c r="K11" s="176" t="n">
        <x:v>2</x:v>
      </x:c>
      <x:c r="L11" s="161" t="str">
        <x:v>[M2, M4] Product-level mission protections are weak in the reviewed evidence and climate engagement is firm-wide rather than fund-specific.</x:v>
      </x:c>
    </x:row>
    <x:row r="12" ht="64" customHeight="1">
      <x:c r="A12" s="161" t="str">
        <x:v>Governance and reporting</x:v>
      </x:c>
      <x:c r="B12" s="176" t="n">
        <x:v>5</x:v>
      </x:c>
      <x:c r="C12" s="176" t="n">
        <x:v>5</x:v>
      </x:c>
      <x:c r="D12" s="176" t="n">
        <x:v>5</x:v>
      </x:c>
      <x:c r="E12" s="176" t="n">
        <x:v>5</x:v>
      </x:c>
      <x:c r="F12" s="177" t="n">
        <x:f>INDEX(B12:E12,1,MATCH($B$4,$B$5:$E$5,0))</x:f>
        <x:v>5</x:v>
      </x:c>
      <x:c r="G12" s="176" t="n">
        <x:v>5</x:v>
      </x:c>
      <x:c r="H12" s="161" t="str">
        <x:v>[C3, C5] Charity-specific reporting and a CAIF Advisory Committee strengthen oversight, subject to conflict questions.</x:v>
      </x:c>
      <x:c r="I12" s="176" t="n">
        <x:v>3</x:v>
      </x:c>
      <x:c r="J12" s="161" t="str">
        <x:v>[S2, S6] A named team and committee exist, but the differing public OCF figures should be reconciled before reliance.</x:v>
      </x:c>
      <x:c r="K12" s="176" t="n">
        <x:v>3</x:v>
      </x:c>
      <x:c r="L12" s="161" t="str">
        <x:v>[M1-M3] Named managers and regular reporting, but affiliated-fund governance and underlying fee rebates need confirmation.</x:v>
      </x:c>
    </x:row>
    <x:row r="13">
      <x:c r="A13" s="178" t="str">
        <x:v>Weight check</x:v>
      </x:c>
      <x:c r="B13" s="179" t="n">
        <x:f>SUM(B7:B12)</x:f>
        <x:v>100</x:v>
      </x:c>
      <x:c r="C13" s="179" t="n">
        <x:f>SUM(C7:C12)</x:f>
        <x:v>100</x:v>
      </x:c>
      <x:c r="D13" s="179" t="n">
        <x:f>SUM(D7:D12)</x:f>
        <x:v>100</x:v>
      </x:c>
      <x:c r="E13" s="179" t="n">
        <x:f>SUM(E7:E12)</x:f>
        <x:v>100</x:v>
      </x:c>
      <x:c r="F13" s="180"/>
      <x:c r="G13" s="180"/>
      <x:c r="H13" s="180" t="str">
        <x:v>Scores: 1 weak support/fit; 3 mixed; 5 strong support/fit</x:v>
      </x:c>
      <x:c r="I13" s="180"/>
      <x:c r="J13" s="180" t="str"/>
      <x:c r="K13" s="180"/>
      <x:c r="L13" s="181" t="str"/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</x:row>
    <x:row r="15">
      <x:c r="A15" s="45" t="str">
        <x:v>Fund</x:v>
      </x:c>
      <x:c r="B15" s="45" t="str">
        <x:v>Selected score</x:v>
      </x:c>
      <x:c r="C15" s="45" t="str">
        <x:v>Role</x:v>
      </x:c>
      <x:c r="D15" s="45" t="str">
        <x:v>Rank</x:v>
      </x:c>
      <x:c r="E15" s="45" t="str">
        <x:v>Interpretation</x:v>
      </x:c>
      <x:c r="F15" s="45"/>
      <x:c r="G15" s="45"/>
      <x:c r="H15" s="45"/>
      <x:c r="I15" s="101"/>
      <x:c r="J15" s="101"/>
      <x:c r="K15" s="101"/>
      <x:c r="L15" s="101"/>
    </x:row>
    <x:row r="16" ht="50" customHeight="1">
      <x:c r="A16" s="158" t="str">
        <x:v>Cazenove</x:v>
      </x:c>
      <x:c r="B16" s="157" t="n">
        <x:f>IF(SUM($F$7:$F$12)&lt;&gt;100,"n.a.",SUMPRODUCT($F$7:$F$12,$G$7:$G$12)/5)</x:f>
        <x:v>70</x:v>
      </x:c>
      <x:c r="C16" s="158" t="str">
        <x:v>Balanced candidate</x:v>
      </x:c>
      <x:c r="D16" s="158" t="n">
        <x:f>IF(B16="n.a.","n.a.",1+COUNTIF($B$16:$B$18,"&gt;"&amp;B16))</x:f>
        <x:v>1</x:v>
      </x:c>
      <x:c r="E16" s="158" t="str">
        <x:v>Public evidence is strongest on mandate fit, cost balance and charity governance; mission evidence is weak</x:v>
      </x:c>
      <x:c r="F16" s="158"/>
      <x:c r="G16" s="158"/>
      <x:c r="H16" s="158"/>
      <x:c r="I16" s="101"/>
      <x:c r="J16" s="101"/>
      <x:c r="K16" s="101"/>
      <x:c r="L16" s="101"/>
    </x:row>
    <x:row r="17" ht="50" customHeight="1">
      <x:c r="A17" s="161" t="str">
        <x:v>Sarasin</x:v>
      </x:c>
      <x:c r="B17" s="160" t="n">
        <x:f>IF(SUM($F$7:$F$12)&lt;&gt;100,"n.a.",SUMPRODUCT($F$7:$F$12,$I$7:$I$12)/5)</x:f>
        <x:v>63</x:v>
      </x:c>
      <x:c r="C17" s="161" t="str">
        <x:v>Mission-led alternative</x:v>
      </x:c>
      <x:c r="D17" s="161" t="n">
        <x:f>IF(B17="n.a.","n.a.",1+COUNTIF($B$16:$B$18,"&gt;"&amp;B17))</x:f>
        <x:v>2</x:v>
      </x:c>
      <x:c r="E17" s="161" t="str">
        <x:v>Mission evidence is strongest; current performance, high cost and differing OCF disclosures reduce confidence</x:v>
      </x:c>
      <x:c r="F17" s="161"/>
      <x:c r="G17" s="161"/>
      <x:c r="H17" s="161"/>
      <x:c r="I17" s="101"/>
      <x:c r="J17" s="101"/>
      <x:c r="K17" s="101"/>
      <x:c r="L17" s="101"/>
    </x:row>
    <x:row r="18" ht="50" customHeight="1">
      <x:c r="A18" s="161" t="str">
        <x:v>M&amp;G</x:v>
      </x:c>
      <x:c r="B18" s="160" t="n">
        <x:f>IF(SUM($F$7:$F$12)&lt;&gt;100,"n.a.",SUMPRODUCT($F$7:$F$12,$K$7:$K$12)/5)</x:f>
        <x:v>63</x:v>
      </x:c>
      <x:c r="C18" s="161" t="str">
        <x:v>Cost-led comparator</x:v>
      </x:c>
      <x:c r="D18" s="161" t="n">
        <x:f>IF(B18="n.a.","n.a.",1+COUNTIF($B$16:$B$18,"&gt;"&amp;B18))</x:f>
        <x:v>2</x:v>
      </x:c>
      <x:c r="E18" s="161" t="str">
        <x:v>Lowest disclosed cost; CPI and mission fit are weaker, and 2022 is only one stress period</x:v>
      </x:c>
      <x:c r="F18" s="161"/>
      <x:c r="G18" s="161"/>
      <x:c r="H18" s="161"/>
      <x:c r="I18" s="101"/>
      <x:c r="J18" s="101"/>
      <x:c r="K18" s="101"/>
      <x:c r="L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</x:row>
    <x:row r="21">
      <x:c r="A21" s="17" t="str">
        <x:v>Sensitivity by trustee priority</x:v>
      </x:c>
      <x:c r="B21" s="18"/>
      <x:c r="C21" s="18"/>
      <x:c r="D21" s="18"/>
      <x:c r="E21" s="19"/>
      <x:c r="F21" s="101"/>
      <x:c r="G21" s="101"/>
      <x:c r="H21" s="101"/>
      <x:c r="I21" s="101"/>
      <x:c r="J21" s="101"/>
      <x:c r="K21" s="101"/>
      <x:c r="L21" s="101"/>
    </x:row>
    <x:row r="22">
      <x:c r="A22" s="45" t="str">
        <x:v>Scenario</x:v>
      </x:c>
      <x:c r="B22" s="45" t="str">
        <x:v>Cazenove</x:v>
      </x:c>
      <x:c r="C22" s="45" t="str">
        <x:v>Sarasin</x:v>
      </x:c>
      <x:c r="D22" s="45" t="str">
        <x:v>M&amp;G</x:v>
      </x:c>
      <x:c r="E22" s="45" t="str">
        <x:v>Numerical leader</x:v>
      </x:c>
      <x:c r="F22" s="101"/>
      <x:c r="G22" s="101"/>
      <x:c r="H22" s="101"/>
      <x:c r="I22" s="101"/>
      <x:c r="J22" s="101"/>
      <x:c r="K22" s="101"/>
      <x:c r="L22" s="101"/>
    </x:row>
    <x:row r="23">
      <x:c r="A23" s="162" t="str">
        <x:v>Base</x:v>
      </x:c>
      <x:c r="B23" s="163" t="n">
        <x:f>IF(SUM($B$7:$B$12)&lt;&gt;100,"n.a.",SUMPRODUCT($B$7:$B$12,$G$7:$G$12)/5)</x:f>
        <x:v>70</x:v>
      </x:c>
      <x:c r="C23" s="163" t="n">
        <x:f>IF(SUM($B$7:$B$12)&lt;&gt;100,"n.a.",SUMPRODUCT($B$7:$B$12,$I$7:$I$12)/5)</x:f>
        <x:v>63</x:v>
      </x:c>
      <x:c r="D23" s="163" t="n">
        <x:f>IF(SUM($B$7:$B$12)&lt;&gt;100,"n.a.",SUMPRODUCT($B$7:$B$12,$K$7:$K$12)/5)</x:f>
        <x:v>63</x:v>
      </x:c>
      <x:c r="E23" s="162" t="str">
        <x:f>IF(COUNT(B23:D23)&lt;&gt;3,"Check weights",IF(COUNTIF(B23:D23,MAX(B23:D23))&gt;1,"Tie",IF(B23=MAX(B23:D23),"Cazenove",IF(C23=MAX(B23:D23),"Sarasin","M&amp;G"))))</x:f>
        <x:v>Cazenove</x:v>
      </x:c>
      <x:c r="F23" s="101"/>
      <x:c r="G23" s="101"/>
      <x:c r="H23" s="101"/>
      <x:c r="I23" s="101"/>
      <x:c r="J23" s="101"/>
      <x:c r="K23" s="101"/>
      <x:c r="L23" s="101"/>
    </x:row>
    <x:row r="24">
      <x:c r="A24" s="164" t="str">
        <x:v>Preservation-first</x:v>
      </x:c>
      <x:c r="B24" s="165" t="n">
        <x:f>IF(SUM($C$7:$C$12)&lt;&gt;100,"n.a.",SUMPRODUCT($C$7:$C$12,$G$7:$G$12)/5)</x:f>
        <x:v>70</x:v>
      </x:c>
      <x:c r="C24" s="165" t="n">
        <x:f>IF(SUM($C$7:$C$12)&lt;&gt;100,"n.a.",SUMPRODUCT($C$7:$C$12,$I$7:$I$12)/5)</x:f>
        <x:v>64</x:v>
      </x:c>
      <x:c r="D24" s="165" t="n">
        <x:f>IF(SUM($C$7:$C$12)&lt;&gt;100,"n.a.",SUMPRODUCT($C$7:$C$12,$K$7:$K$12)/5)</x:f>
        <x:v>62</x:v>
      </x:c>
      <x:c r="E24" s="164" t="str">
        <x:f>IF(COUNT(B24:D24)&lt;&gt;3,"Check weights",IF(COUNTIF(B24:D24,MAX(B24:D24))&gt;1,"Tie",IF(B24=MAX(B24:D24),"Cazenove",IF(C24=MAX(B24:D24),"Sarasin","M&amp;G"))))</x:f>
        <x:v>Cazenove</x:v>
      </x:c>
      <x:c r="F24" s="101"/>
      <x:c r="G24" s="101"/>
      <x:c r="H24" s="101"/>
      <x:c r="I24" s="101"/>
      <x:c r="J24" s="101"/>
      <x:c r="K24" s="101"/>
      <x:c r="L24" s="101"/>
    </x:row>
    <x:row r="25">
      <x:c r="A25" s="164" t="str">
        <x:v>Cost-first</x:v>
      </x:c>
      <x:c r="B25" s="165" t="n">
        <x:f>IF(SUM($D$7:$D$12)&lt;&gt;100,"n.a.",SUMPRODUCT($D$7:$D$12,$G$7:$G$12)/5)</x:f>
        <x:v>76</x:v>
      </x:c>
      <x:c r="C25" s="165" t="n">
        <x:f>IF(SUM($D$7:$D$12)&lt;&gt;100,"n.a.",SUMPRODUCT($D$7:$D$12,$I$7:$I$12)/5)</x:f>
        <x:v>55</x:v>
      </x:c>
      <x:c r="D25" s="165" t="n">
        <x:f>IF(SUM($D$7:$D$12)&lt;&gt;100,"n.a.",SUMPRODUCT($D$7:$D$12,$K$7:$K$12)/5)</x:f>
        <x:v>77</x:v>
      </x:c>
      <x:c r="E25" s="164" t="str">
        <x:f>IF(COUNT(B25:D25)&lt;&gt;3,"Check weights",IF(COUNTIF(B25:D25,MAX(B25:D25))&gt;1,"Tie",IF(B25=MAX(B25:D25),"Cazenove",IF(C25=MAX(B25:D25),"Sarasin","M&amp;G"))))</x:f>
        <x:v>M&amp;G</x:v>
      </x:c>
      <x:c r="F25" s="101"/>
      <x:c r="G25" s="101"/>
      <x:c r="H25" s="101"/>
      <x:c r="I25" s="101"/>
      <x:c r="J25" s="101"/>
      <x:c r="K25" s="101"/>
      <x:c r="L25" s="101"/>
    </x:row>
    <x:row r="26">
      <x:c r="A26" s="164" t="str">
        <x:v>Mission-first</x:v>
      </x:c>
      <x:c r="B26" s="165" t="n">
        <x:f>IF(SUM($E$7:$E$12)&lt;&gt;100,"n.a.",SUMPRODUCT($E$7:$E$12,$G$7:$G$12)/5)</x:f>
        <x:v>65</x:v>
      </x:c>
      <x:c r="C26" s="165" t="n">
        <x:f>IF(SUM($E$7:$E$12)&lt;&gt;100,"n.a.",SUMPRODUCT($E$7:$E$12,$I$7:$I$12)/5)</x:f>
        <x:v>67</x:v>
      </x:c>
      <x:c r="D26" s="165" t="n">
        <x:f>IF(SUM($E$7:$E$12)&lt;&gt;100,"n.a.",SUMPRODUCT($E$7:$E$12,$K$7:$K$12)/5)</x:f>
        <x:v>58</x:v>
      </x:c>
      <x:c r="E26" s="164" t="str">
        <x:f>IF(COUNT(B26:D26)&lt;&gt;3,"Check weights",IF(COUNTIF(B26:D26,MAX(B26:D26))&gt;1,"Tie",IF(B26=MAX(B26:D26),"Cazenove",IF(C26=MAX(B26:D26),"Sarasin","M&amp;G"))))</x:f>
        <x:v>Sarasin</x:v>
      </x:c>
      <x:c r="F26" s="101"/>
      <x:c r="G26" s="101"/>
      <x:c r="H26" s="101"/>
      <x:c r="I26" s="101"/>
      <x:c r="J26" s="101"/>
      <x:c r="K26" s="101"/>
      <x:c r="L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</x:row>
    <x:row r="28">
      <x:c r="A28" s="95" t="str">
        <x:v>Interpretation: Cazenove leads the balanced and preservation-first cases, M&amp;G leads when cost dominates, and Sarasin leads when mission protections dominate. That instability is the result: the public evidence does not support an unconditional winner.</x:v>
      </x:c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7"/>
    </x:row>
    <x:row r="29">
      <x:c r="A29" s="112"/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4"/>
    </x:row>
    <x:row r="30">
      <x:c r="A30" s="98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100"/>
    </x:row>
  </x:sheetData>
  <x:mergeCells>
    <x:mergeCell ref="A3:L3"/>
    <x:mergeCell ref="E15:H15"/>
    <x:mergeCell ref="E16:H16"/>
    <x:mergeCell ref="E17:H17"/>
    <x:mergeCell ref="E18:H18"/>
    <x:mergeCell ref="A21:E21"/>
    <x:mergeCell ref="A28:L30"/>
  </x:mergeCells>
  <x:conditionalFormatting sqref="B13:E13">
    <x:cfRule type="cellIs" dxfId="4" priority="1" operator="notEqual">
      <x:formula>100</x:formula>
    </x:cfRule>
  </x:conditionalFormatting>
  <x:conditionalFormatting sqref="B23:D26">
    <x:cfRule type="colorScale" priority="2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dataValidations count="4">
    <x:dataValidation type="whole" operator="between" sqref="B7:E12">
      <x:formula1>0</x:formula1>
      <x:formula2>100</x:formula2>
    </x:dataValidation>
    <x:dataValidation type="whole" operator="between" sqref="G7:G12">
      <x:formula1>1</x:formula1>
      <x:formula2>5</x:formula2>
    </x:dataValidation>
    <x:dataValidation type="whole" operator="between" sqref="I7:I12">
      <x:formula1>1</x:formula1>
      <x:formula2>5</x:formula2>
    </x:dataValidation>
    <x:dataValidation type="whole" operator="between" sqref="K7:K12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5D7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15" hidden="0" customWidth="1"/>
    <x:col min="3" max="3" width="36.66999816894531" hidden="0" customWidth="1"/>
    <x:col min="4" max="4" width="36.66999816894531" hidden="0" customWidth="1"/>
    <x:col min="5" max="5" width="36.66999816894531" hidden="0" customWidth="1"/>
    <x:col min="6" max="6" width="27.780000686645508" hidden="0" customWidth="1"/>
  </x:cols>
  <x:sheetData>
    <x:row r="1">
      <x:c r="A1" s="101"/>
      <x:c r="B1" s="101"/>
      <x:c r="C1" s="101"/>
      <x:c r="D1" s="101"/>
      <x:c r="E1" s="101"/>
      <x:c r="F1" s="101"/>
    </x:row>
    <x:row r="2" ht="26" customHeight="1">
      <x:c r="A2" s="152" t="str">
        <x:v>Questions Required Before Appointment</x:v>
      </x:c>
      <x:c r="B2" s="153"/>
      <x:c r="C2" s="153"/>
      <x:c r="D2" s="153"/>
      <x:c r="E2" s="153"/>
      <x:c r="F2" s="153"/>
    </x:row>
    <x:row r="3" ht="30" customHeight="1">
      <x:c r="A3" s="154" t="str">
        <x:v>The public screen identifies what to ask. It does not substitute for manager interviews, operational review or legal advice.</x:v>
      </x:c>
      <x:c r="B3" s="154"/>
      <x:c r="C3" s="154"/>
      <x:c r="D3" s="154"/>
      <x:c r="E3" s="154"/>
      <x:c r="F3" s="154"/>
    </x:row>
    <x:row r="4">
      <x:c r="A4" s="101"/>
      <x:c r="B4" s="101"/>
      <x:c r="C4" s="101"/>
      <x:c r="D4" s="101"/>
      <x:c r="E4" s="101"/>
      <x:c r="F4" s="101"/>
    </x:row>
    <x:row r="5">
      <x:c r="A5" s="45" t="str">
        <x:v>Priority</x:v>
      </x:c>
      <x:c r="B5" s="45" t="str">
        <x:v>Topic</x:v>
      </x:c>
      <x:c r="C5" s="45" t="str">
        <x:v>Cazenove</x:v>
      </x:c>
      <x:c r="D5" s="45" t="str">
        <x:v>Sarasin</x:v>
      </x:c>
      <x:c r="E5" s="45" t="str">
        <x:v>M&amp;G</x:v>
      </x:c>
      <x:c r="F5" s="45" t="str">
        <x:v>Decision affected</x:v>
      </x:c>
    </x:row>
    <x:row r="6" ht="76" customHeight="1">
      <x:c r="A6" s="182" t="str">
        <x:v>1</x:v>
      </x:c>
      <x:c r="B6" s="158" t="str">
        <x:v>Performance</x:v>
      </x:c>
      <x:c r="C6" s="158" t="str">
        <x:v>Explain the ten-year 6.6% net return versus the manager's 7.9% disclosed target series, including the RPI-to-CPI transition, predecessor history, allocation and manager-selection attribution.</x:v>
      </x:c>
      <x:c r="D6" s="158" t="str">
        <x:v>Explain the five-year 4.85% net return versus 9.26% target and provide supporting performance attribution.</x:v>
      </x:c>
      <x:c r="E6" s="158" t="str">
        <x:v>Explain the five-year 8.16% result versus 8.68% composite and how the 3% yield target affects total return.</x:v>
      </x:c>
      <x:c r="F6" s="158" t="str">
        <x:v>Whether the process remains credible after objective misses</x:v>
      </x:c>
    </x:row>
    <x:row r="7" ht="76" customHeight="1">
      <x:c r="A7" s="183" t="str">
        <x:v>1</x:v>
      </x:c>
      <x:c r="B7" s="161" t="str">
        <x:v>Downside</x:v>
      </x:c>
      <x:c r="C7" s="161" t="str">
        <x:v>Provide monthly net returns, maximum drawdown, recovery time and stress tests for the current legal vehicle.</x:v>
      </x:c>
      <x:c r="D7" s="161" t="str">
        <x:v>Provide maximum drawdown, recovery time and downside attribution for 2020, 2022 and the latest stress period.</x:v>
      </x:c>
      <x:c r="E7" s="161" t="str">
        <x:v>Provide maximum drawdown, recovery time and look-through duration/equity stress tests.</x:v>
      </x:c>
      <x:c r="F7" s="161" t="str">
        <x:v>Whether a 15% trustee review trigger is workable</x:v>
      </x:c>
    </x:row>
    <x:row r="8" ht="76" customHeight="1">
      <x:c r="A8" s="183" t="str">
        <x:v>1</x:v>
      </x:c>
      <x:c r="B8" s="161" t="str">
        <x:v>Mission</x:v>
      </x:c>
      <x:c r="C8" s="161" t="str">
        <x:v>Confirm binding product-level exclusions and look-through exposure to tobacco and controversial weapons; distinguish this fund from the sustainable sibling.</x:v>
      </x:c>
      <x:c r="D8" s="161" t="str">
        <x:v>Quantify indirect-fund positions outside the screens and provide current controversy and fossil-fuel look-through.</x:v>
      </x:c>
      <x:c r="E8" s="161" t="str">
        <x:v>Confirm product-level tobacco, weapons and coal rules across every underlying fund, including non-M&amp;G holdings.</x:v>
      </x:c>
      <x:c r="F8" s="161" t="str">
        <x:v>Whether holdings could conflict with the charity's purposes or reputation</x:v>
      </x:c>
    </x:row>
    <x:row r="9" ht="76" customHeight="1">
      <x:c r="A9" s="183" t="str">
        <x:v>1</x:v>
      </x:c>
      <x:c r="B9" s="161" t="str">
        <x:v>Costs</x:v>
      </x:c>
      <x:c r="C9" s="161" t="str">
        <x:v>Reconcile current OCF, transaction costs, underlying-fund charges and rebates for a £10m mandate.</x:v>
      </x:c>
      <x:c r="D9" s="161" t="str">
        <x:v>Reconcile 0.93% and 0.94% OCF, closed-ended underlying costs, spreads and any dilution levy.</x:v>
      </x:c>
      <x:c r="E9" s="161" t="str">
        <x:v>Confirm the 0.60% total product cost includes the economic effect of every underlying fund and all rebates.</x:v>
      </x:c>
      <x:c r="F9" s="161" t="str">
        <x:v>Expected net return available for spending and real-capital preservation</x:v>
      </x:c>
    </x:row>
    <x:row r="10" ht="76" customHeight="1">
      <x:c r="A10" s="183" t="str">
        <x:v>2</x:v>
      </x:c>
      <x:c r="B10" s="161" t="str">
        <x:v>Liquidity</x:v>
      </x:c>
      <x:c r="C10" s="161" t="str">
        <x:v>Provide look-through liquidity buckets, property/alternative terms and results of a £10m redemption stress.</x:v>
      </x:c>
      <x:c r="D10" s="161" t="str">
        <x:v>Provide look-through liquidity, valuation frequency and notice periods for alternatives and underlying funds.</x:v>
      </x:c>
      <x:c r="E10" s="161" t="str">
        <x:v>Explain liquidity under simultaneous redemptions and long-duration bond stress, including suspension history.</x:v>
      </x:c>
      <x:c r="F10" s="161" t="str">
        <x:v>Whether daily dealing remains dependable in stressed markets</x:v>
      </x:c>
    </x:row>
    <x:row r="11" ht="76" customHeight="1">
      <x:c r="A11" s="183" t="str">
        <x:v>2</x:v>
      </x:c>
      <x:c r="B11" s="161" t="str">
        <x:v>Governance</x:v>
      </x:c>
      <x:c r="C11" s="161" t="str">
        <x:v>Explain affiliated-manager selection, committee independence, team decision rights and succession.</x:v>
      </x:c>
      <x:c r="D11" s="161" t="str">
        <x:v>Reconcile the 0.93% and 0.94% public OCF figures and explain committee independence, decision rights and any recent team changes.</x:v>
      </x:c>
      <x:c r="E11" s="161" t="str">
        <x:v>Explain affiliated-fund selection, fee rebates, conflict oversight, decision rights and succession.</x:v>
      </x:c>
      <x:c r="F11" s="161" t="str">
        <x:v>Whether trustees can monitor decisions and conflicts</x:v>
      </x:c>
    </x:row>
    <x:row r="12">
      <x:c r="A12" s="101"/>
      <x:c r="B12" s="101"/>
      <x:c r="C12" s="101"/>
      <x:c r="D12" s="101"/>
      <x:c r="E12" s="101"/>
      <x:c r="F12" s="101"/>
    </x:row>
    <x:row r="13">
      <x:c r="A13" s="101"/>
      <x:c r="B13" s="101"/>
      <x:c r="C13" s="101"/>
      <x:c r="D13" s="101"/>
      <x:c r="E13" s="101"/>
      <x:c r="F13" s="101"/>
    </x:row>
    <x:row r="14">
      <x:c r="A14" s="17" t="str">
        <x:v>Proposed monitoring and escalation triggers</x:v>
      </x:c>
      <x:c r="B14" s="18"/>
      <x:c r="C14" s="18"/>
      <x:c r="D14" s="18"/>
      <x:c r="E14" s="18"/>
      <x:c r="F14" s="19"/>
    </x:row>
    <x:row r="15">
      <x:c r="A15" s="101"/>
      <x:c r="B15" s="101"/>
      <x:c r="C15" s="101"/>
      <x:c r="D15" s="101"/>
      <x:c r="E15" s="101"/>
      <x:c r="F15" s="101"/>
    </x:row>
    <x:row r="16">
      <x:c r="A16" s="45" t="str">
        <x:v>Area</x:v>
      </x:c>
      <x:c r="B16" s="45" t="str">
        <x:v>Proposed trustee action</x:v>
      </x:c>
      <x:c r="C16" s="45"/>
      <x:c r="D16" s="45"/>
      <x:c r="E16" s="45"/>
      <x:c r="F16" s="45"/>
    </x:row>
    <x:row r="17" ht="36" customHeight="1">
      <x:c r="A17" s="158" t="str">
        <x:v>Objective</x:v>
      </x:c>
      <x:c r="B17" s="158" t="str">
        <x:v>Review at least annually; require attribution and a remediation plan after a rolling-horizon target miss</x:v>
      </x:c>
      <x:c r="C17" s="158"/>
      <x:c r="D17" s="158"/>
      <x:c r="E17" s="158"/>
      <x:c r="F17" s="158"/>
    </x:row>
    <x:row r="18" ht="36" customHeight="1">
      <x:c r="A18" s="161" t="str">
        <x:v>Downside</x:v>
      </x:c>
      <x:c r="B18" s="161" t="str">
        <x:v>Convene a trustee review near a 15% drawdown; this does not force an automatic sale</x:v>
      </x:c>
      <x:c r="C18" s="161"/>
      <x:c r="D18" s="161"/>
      <x:c r="E18" s="161"/>
      <x:c r="F18" s="161"/>
    </x:row>
    <x:row r="19" ht="36" customHeight="1">
      <x:c r="A19" s="161" t="str">
        <x:v>Team</x:v>
      </x:c>
      <x:c r="B19" s="161" t="str">
        <x:v>Review any lead-manager departure, material turnover or change in decision rights</x:v>
      </x:c>
      <x:c r="C19" s="161"/>
      <x:c r="D19" s="161"/>
      <x:c r="E19" s="161"/>
      <x:c r="F19" s="161"/>
    </x:row>
    <x:row r="20" ht="36" customHeight="1">
      <x:c r="A20" s="161" t="str">
        <x:v>Style</x:v>
      </x:c>
      <x:c r="B20" s="161" t="str">
        <x:v>Review material drift in equity, alternatives, duration, currency or affiliated-fund exposure</x:v>
      </x:c>
      <x:c r="C20" s="161"/>
      <x:c r="D20" s="161"/>
      <x:c r="E20" s="161"/>
      <x:c r="F20" s="161"/>
    </x:row>
    <x:row r="21" ht="36" customHeight="1">
      <x:c r="A21" s="161" t="str">
        <x:v>Mission</x:v>
      </x:c>
      <x:c r="B21" s="161" t="str">
        <x:v>Escalate a screen breach, new indirect exposure or weaker exclusion policy</x:v>
      </x:c>
      <x:c r="C21" s="161"/>
      <x:c r="D21" s="161"/>
      <x:c r="E21" s="161"/>
      <x:c r="F21" s="161"/>
    </x:row>
    <x:row r="22" ht="36" customHeight="1">
      <x:c r="A22" s="161" t="str">
        <x:v>Fees</x:v>
      </x:c>
      <x:c r="B22" s="161" t="str">
        <x:v>Review any OCF rise, new performance fee or unreconciled underlying cost</x:v>
      </x:c>
      <x:c r="C22" s="161"/>
      <x:c r="D22" s="161"/>
      <x:c r="E22" s="161"/>
      <x:c r="F22" s="161"/>
    </x:row>
    <x:row r="23" ht="36" customHeight="1">
      <x:c r="A23" s="161" t="str">
        <x:v>Liquidity</x:v>
      </x:c>
      <x:c r="B23" s="161" t="str">
        <x:v>Review any redemption deferral, suspension or deterioration in look-through liquidity</x:v>
      </x:c>
      <x:c r="C23" s="161"/>
      <x:c r="D23" s="161"/>
      <x:c r="E23" s="161"/>
      <x:c r="F23" s="161"/>
    </x:row>
    <x:row r="24" ht="36" customHeight="1">
      <x:c r="A24" s="161" t="str">
        <x:v>Reporting</x:v>
      </x:c>
      <x:c r="B24" s="161" t="str">
        <x:v>Escalate unresolved disclosure discrepancies or delayed risk and holdings reporting</x:v>
      </x:c>
      <x:c r="C24" s="161"/>
      <x:c r="D24" s="161"/>
      <x:c r="E24" s="161"/>
      <x:c r="F24" s="161"/>
    </x:row>
  </x:sheetData>
  <x:mergeCells>
    <x:mergeCell ref="A3:F3"/>
    <x:mergeCell ref="A14:F14"/>
    <x:mergeCell ref="B16:F16"/>
    <x:mergeCell ref="B17:F17"/>
    <x:mergeCell ref="B18:F18"/>
    <x:mergeCell ref="B19:F19"/>
    <x:mergeCell ref="B20:F20"/>
    <x:mergeCell ref="B21:F21"/>
    <x:mergeCell ref="B22:F22"/>
    <x:mergeCell ref="B23:F23"/>
    <x:mergeCell ref="B24:F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21999979019165" hidden="0" customWidth="1"/>
    <x:col min="2" max="2" width="10" hidden="0" customWidth="1"/>
    <x:col min="3" max="3" width="31.110000610351562" hidden="0" customWidth="1"/>
    <x:col min="4" max="4" width="15" hidden="0" customWidth="1"/>
    <x:col min="5" max="5" width="25.559999465942383" hidden="0" customWidth="1"/>
    <x:col min="6" max="6" width="56.66999816894531" hidden="0" customWidth="1"/>
  </x:cols>
  <x:sheetData>
    <x:row r="1">
      <x:c r="A1" s="101"/>
      <x:c r="B1" s="101"/>
      <x:c r="C1" s="101"/>
      <x:c r="D1" s="101"/>
      <x:c r="E1" s="101"/>
      <x:c r="F1" s="101"/>
    </x:row>
    <x:row r="2" ht="26" customHeight="1">
      <x:c r="A2" s="152" t="str">
        <x:v>Source Register</x:v>
      </x:c>
      <x:c r="B2" s="153"/>
      <x:c r="C2" s="153"/>
      <x:c r="D2" s="153"/>
      <x:c r="E2" s="153"/>
      <x:c r="F2" s="153"/>
    </x:row>
    <x:row r="3" ht="30" customHeight="1">
      <x:c r="A3" s="154" t="str">
        <x:v>Official sources only. Marketing documents are treated as manager evidence, not independently verified fact.</x:v>
      </x:c>
      <x:c r="B3" s="154"/>
      <x:c r="C3" s="154"/>
      <x:c r="D3" s="154"/>
      <x:c r="E3" s="154"/>
      <x:c r="F3" s="154"/>
    </x:row>
    <x:row r="4">
      <x:c r="A4" s="101"/>
      <x:c r="B4" s="101"/>
      <x:c r="C4" s="101"/>
      <x:c r="D4" s="101"/>
      <x:c r="E4" s="101"/>
      <x:c r="F4" s="101"/>
    </x:row>
    <x:row r="5">
      <x:c r="A5" s="45" t="str">
        <x:v>ID</x:v>
      </x:c>
      <x:c r="B5" s="45" t="str">
        <x:v>Fund</x:v>
      </x:c>
      <x:c r="C5" s="45" t="str">
        <x:v>Document</x:v>
      </x:c>
      <x:c r="D5" s="45" t="str">
        <x:v>Date / period</x:v>
      </x:c>
      <x:c r="E5" s="45" t="str">
        <x:v>Pages / section</x:v>
      </x:c>
      <x:c r="F5" s="45" t="str">
        <x:v>Official URL</x:v>
      </x:c>
    </x:row>
    <x:row r="6" ht="44" customHeight="1">
      <x:c r="A6" s="156" t="str">
        <x:v>G1</x:v>
      </x:c>
      <x:c r="B6" s="158" t="str">
        <x:v>General</x:v>
      </x:c>
      <x:c r="C6" s="158" t="str">
        <x:v>Charity Commission CC14 Investing charity money</x:v>
      </x:c>
      <x:c r="D6" s="158" t="str">
        <x:v>Updated 1 Aug 2023</x:v>
      </x:c>
      <x:c r="E6" s="158" t="str">
        <x:v>Policy 338–420; manager selection 521–548; pooled funds 593–611; monitoring 621–632</x:v>
      </x:c>
      <x:c r="F6" s="158" t="str">
        <x:v>https://www.gov.uk/government/publications/charities-and-investment-matters-a-guide-for-trustees-cc14/charities-and-investment-matters-a-guide-for-trustees</x:v>
      </x:c>
    </x:row>
    <x:row r="7" ht="44" customHeight="1">
      <x:c r="A7" s="159" t="str">
        <x:v>C1</x:v>
      </x:c>
      <x:c r="B7" s="161" t="str">
        <x:v>Cazenove</x:v>
      </x:c>
      <x:c r="C7" s="161" t="str">
        <x:v>Charity Multi-Asset Fund factsheet</x:v>
      </x:c>
      <x:c r="D7" s="161" t="str">
        <x:v>30 Jun 2026</x:v>
      </x:c>
      <x:c r="E7" s="161" t="str">
        <x:v>pp1–3</x:v>
      </x:c>
      <x:c r="F7" s="161" t="str">
        <x:v>https://api.schroders.com/document-store/SUTL-Cazenove-Charity-Multi-Asset-Fund-FQR-UKEN.pdf</x:v>
      </x:c>
    </x:row>
    <x:row r="8" ht="44" customHeight="1">
      <x:c r="A8" s="159" t="str">
        <x:v>C2</x:v>
      </x:c>
      <x:c r="B8" s="161" t="str">
        <x:v>Cazenove</x:v>
      </x:c>
      <x:c r="C8" s="161" t="str">
        <x:v>Class Z Accumulation KIID</x:v>
      </x:c>
      <x:c r="D8" s="161" t="str">
        <x:v>12 Feb 2026</x:v>
      </x:c>
      <x:c r="E8" s="161" t="str">
        <x:v>pp1–2</x:v>
      </x:c>
      <x:c r="F8" s="161" t="str">
        <x:v>https://api.schroders.com/document-store/SCCNF_SUTL-Cazenove-Charity-Multi-Asset-Fund-GBP_A-Acc-KIID-GBEN.pdf</x:v>
      </x:c>
    </x:row>
    <x:row r="9" ht="44" customHeight="1">
      <x:c r="A9" s="159" t="str">
        <x:v>C3</x:v>
      </x:c>
      <x:c r="B9" s="161" t="str">
        <x:v>Cazenove</x:v>
      </x:c>
      <x:c r="C9" s="161" t="str">
        <x:v>SUTL Cazenove Charity Non-UCITS Fund prospectus</x:v>
      </x:c>
      <x:c r="D9" s="161" t="str">
        <x:v>28 Jul 2026</x:v>
      </x:c>
      <x:c r="E9" s="161" t="str">
        <x:v>pp5, 7, 12–16, 40–41, 56–57</x:v>
      </x:c>
      <x:c r="F9" s="161" t="str">
        <x:v>https://api.schroders.com/document-store/id/f9141a16-7d3e-4425-8717-67f0b31302a2</x:v>
      </x:c>
    </x:row>
    <x:row r="10" ht="44" customHeight="1">
      <x:c r="A10" s="159" t="str">
        <x:v>C4</x:v>
      </x:c>
      <x:c r="B10" s="161" t="str">
        <x:v>Cazenove</x:v>
      </x:c>
      <x:c r="C10" s="161" t="str">
        <x:v>Final report and accounts</x:v>
      </x:c>
      <x:c r="D10" s="161" t="str">
        <x:v>31 Mar 2025</x:v>
      </x:c>
      <x:c r="E10" s="161" t="str">
        <x:v>pp14, 23</x:v>
      </x:c>
      <x:c r="F10" s="161" t="str">
        <x:v>https://api.schroders.com/document-store/SUTL_Cazenove-Charity-Non-UCITS%20Fund-FRA.pdf</x:v>
      </x:c>
    </x:row>
    <x:row r="11" ht="44" customHeight="1">
      <x:c r="A11" s="159" t="str">
        <x:v>C5</x:v>
      </x:c>
      <x:c r="B11" s="161" t="str">
        <x:v>Cazenove</x:v>
      </x:c>
      <x:c r="C11" s="161" t="str">
        <x:v>Charity Authorised Investment Funds page</x:v>
      </x:c>
      <x:c r="D11" s="161" t="str">
        <x:v>Accessed 21 Sep 2026</x:v>
      </x:c>
      <x:c r="E11" s="161" t="str">
        <x:v>Advisory Committee section</x:v>
      </x:c>
      <x:c r="F11" s="161" t="str">
        <x:v>https://www.cazenovecapital.com/en-gb/uk/charity/what-we-offer/charity-authorised-investment-funds/</x:v>
      </x:c>
    </x:row>
    <x:row r="12" ht="44" customHeight="1">
      <x:c r="A12" s="159" t="str">
        <x:v>S1</x:v>
      </x:c>
      <x:c r="B12" s="161" t="str">
        <x:v>Sarasin</x:v>
      </x:c>
      <x:c r="C12" s="161" t="str">
        <x:v>Sarasin Endowments A Acc factsheet</x:v>
      </x:c>
      <x:c r="D12" s="161" t="str">
        <x:v>31 Jul 2026</x:v>
      </x:c>
      <x:c r="E12" s="161" t="str">
        <x:v>pp1–3</x:v>
      </x:c>
      <x:c r="F12" s="161" t="str">
        <x:v>https://documents.feprecisionplus.com/factsheet/sar/fs/factsheet---sarasin-endowments-fund-a-acc_gb00byzjn999rb.pdf</x:v>
      </x:c>
    </x:row>
    <x:row r="13" ht="44" customHeight="1">
      <x:c r="A13" s="159" t="str">
        <x:v>S2</x:v>
      </x:c>
      <x:c r="B13" s="161" t="str">
        <x:v>Sarasin</x:v>
      </x:c>
      <x:c r="C13" s="161" t="str">
        <x:v>Sarasin Charity Authorised Investment Funds prospectus</x:v>
      </x:c>
      <x:c r="D13" s="161" t="str">
        <x:v>6 Jul 2026</x:v>
      </x:c>
      <x:c r="E13" s="161" t="str">
        <x:v>pp9–10, 14–15, 21, 34, 37–38, 59–62, 77–78, 93–94</x:v>
      </x:c>
      <x:c r="F13" s="161" t="str">
        <x:v>https://sarasinandpartners.com/media/jheh2owk/sarasin-charities-authorised-investment-funds-prospectus.pdf</x:v>
      </x:c>
    </x:row>
    <x:row r="14" ht="44" customHeight="1">
      <x:c r="A14" s="159" t="str">
        <x:v>S3</x:v>
      </x:c>
      <x:c r="B14" s="161" t="str">
        <x:v>Sarasin</x:v>
      </x:c>
      <x:c r="C14" s="161" t="str">
        <x:v>CAIF annual report and accounts</x:v>
      </x:c>
      <x:c r="D14" s="161" t="str">
        <x:v>Year to 31 Dec 2025</x:v>
      </x:c>
      <x:c r="E14" s="161" t="str">
        <x:v>pp24–31, 40–41</x:v>
      </x:c>
      <x:c r="F14" s="161" t="str">
        <x:v>https://sarasinandpartners.com/media/ggogftos/sarasin-caif-annual-report-and-accounts.pdf</x:v>
      </x:c>
    </x:row>
    <x:row r="15" ht="44" customHeight="1">
      <x:c r="A15" s="159" t="str">
        <x:v>S4</x:v>
      </x:c>
      <x:c r="B15" s="161" t="str">
        <x:v>Sarasin</x:v>
      </x:c>
      <x:c r="C15" s="161" t="str">
        <x:v>Guide to ethical exclusions</x:v>
      </x:c>
      <x:c r="D15" s="161" t="str">
        <x:v>2026</x:v>
      </x:c>
      <x:c r="E15" s="161" t="str">
        <x:v>pp3–17</x:v>
      </x:c>
      <x:c r="F15" s="161" t="str">
        <x:v>https://sarasinandpartners.com/media/ymyjyorw/00112_uk_ethical-exclusions_2026_charity.pdf</x:v>
      </x:c>
    </x:row>
    <x:row r="16" ht="44" customHeight="1">
      <x:c r="A16" s="159" t="str">
        <x:v>S5</x:v>
      </x:c>
      <x:c r="B16" s="161" t="str">
        <x:v>Sarasin</x:v>
      </x:c>
      <x:c r="C16" s="161" t="str">
        <x:v>CAIF product-level sustainability report</x:v>
      </x:c>
      <x:c r="D16" s="161" t="str">
        <x:v>4 Mar 2026</x:v>
      </x:c>
      <x:c r="E16" s="161" t="str">
        <x:v>pp7–9</x:v>
      </x:c>
      <x:c r="F16" s="161" t="str">
        <x:v>https://sarasinandpartners.com/media/4qbjktxr/00346_caif-product-level-sustainability-report.pdf</x:v>
      </x:c>
    </x:row>
    <x:row r="17" ht="44" customHeight="1">
      <x:c r="A17" s="159" t="str">
        <x:v>S6</x:v>
      </x:c>
      <x:c r="B17" s="161" t="str">
        <x:v>Sarasin</x:v>
      </x:c>
      <x:c r="C17" s="161" t="str">
        <x:v>Live A Acc product page</x:v>
      </x:c>
      <x:c r="D17" s="161" t="str">
        <x:v>Data at 18 Sep 2026</x:v>
      </x:c>
      <x:c r="E17" s="161" t="str">
        <x:v>Fund facts and team</x:v>
      </x:c>
      <x:c r="F17" s="161" t="str">
        <x:v>https://sarasinandpartners.com/charity/our-investment-solutions/funds/sarasin-endowments/a-acc/</x:v>
      </x:c>
    </x:row>
    <x:row r="18" ht="44" customHeight="1">
      <x:c r="A18" s="159" t="str">
        <x:v>M1</x:v>
      </x:c>
      <x:c r="B18" s="161" t="str">
        <x:v>M&amp;G</x:v>
      </x:c>
      <x:c r="C18" s="161" t="str">
        <x:v>M&amp;G Charity Multi Asset Fund factsheet</x:v>
      </x:c>
      <x:c r="D18" s="161" t="str">
        <x:v>31 Aug 2026</x:v>
      </x:c>
      <x:c r="E18" s="161" t="str">
        <x:v>pp1–2</x:v>
      </x:c>
      <x:c r="F18" s="161" t="str">
        <x:v>https://www.mandg.com/dam/investments/charities/gb/en/documents/funds-literature/factsheet/charity-multi-asset-fund_gbp__acc_uk_factsheet_eng_uk_gb00bk1kfr05.pdf</x:v>
      </x:c>
    </x:row>
    <x:row r="19" ht="44" customHeight="1">
      <x:c r="A19" s="159" t="str">
        <x:v>M2</x:v>
      </x:c>
      <x:c r="B19" s="161" t="str">
        <x:v>M&amp;G</x:v>
      </x:c>
      <x:c r="C19" s="161" t="str">
        <x:v>Sterling Accumulation KIID</x:v>
      </x:c>
      <x:c r="D19" s="161" t="str">
        <x:v>16 Feb 2026</x:v>
      </x:c>
      <x:c r="E19" s="161" t="str">
        <x:v>pp1–2</x:v>
      </x:c>
      <x:c r="F19" s="161" t="str">
        <x:v>https://www.mandg.com/dam/investments/charities/gb/en/documents/funds-literature/kiid/charity-multi-asset-fund_gbp__acc_uk_kiid_eng_uk_gb00bk1kfr05.pdf</x:v>
      </x:c>
    </x:row>
    <x:row r="20" ht="44" customHeight="1">
      <x:c r="A20" s="159" t="str">
        <x:v>M3</x:v>
      </x:c>
      <x:c r="B20" s="161" t="str">
        <x:v>M&amp;G</x:v>
      </x:c>
      <x:c r="C20" s="161" t="str">
        <x:v>Costs and charges illustration</x:v>
      </x:c>
      <x:c r="D20" s="161" t="str">
        <x:v>24 Jul 2026</x:v>
      </x:c>
      <x:c r="E20" s="161" t="str">
        <x:v>p1</x:v>
      </x:c>
      <x:c r="F20" s="161" t="str">
        <x:v>https://www.mandg.com/dam/investments/common/gb/en/documents/funds-literature/costs-and-charges/charity-multi-asset-fund_gbp__acc_cc_en_uk_gb00bk1kfr05.pdf</x:v>
      </x:c>
    </x:row>
    <x:row r="21" ht="44" customHeight="1">
      <x:c r="A21" s="159" t="str">
        <x:v>M4</x:v>
      </x:c>
      <x:c r="B21" s="161" t="str">
        <x:v>M&amp;G</x:v>
      </x:c>
      <x:c r="C21" s="161" t="str">
        <x:v>M&amp;G Charity Multi Asset Fund climate report</x:v>
      </x:c>
      <x:c r="D21" s="161" t="str">
        <x:v>As at 31 Dec 2025</x:v>
      </x:c>
      <x:c r="E21" s="161" t="str">
        <x:v>p1</x:v>
      </x:c>
      <x:c r="F21" s="161" t="str">
        <x:v>https://www.mandg.com/dam/investments/common/gb/en/documents/funds-literature/tcfd-product-reports/mandg-charity-multi-asset-fund-chma-tcfd-report.pdf</x:v>
      </x:c>
    </x:row>
    <x:row r="22" ht="44" customHeight="1">
      <x:c r="A22" s="159" t="str">
        <x:v>M5</x:v>
      </x:c>
      <x:c r="B22" s="161" t="str">
        <x:v>M&amp;G</x:v>
      </x:c>
      <x:c r="C22" s="161" t="str">
        <x:v>Charity funds and dealing FAQ</x:v>
      </x:c>
      <x:c r="D22" s="161" t="str">
        <x:v>Accessed 21 Sep 2026</x:v>
      </x:c>
      <x:c r="E22" s="161" t="str">
        <x:v>Eligibility and settlement</x:v>
      </x:c>
      <x:c r="F22" s="161" t="str">
        <x:v>https://www.mandginvestments.com/charities/en-gb/help-and-support/faq</x:v>
      </x:c>
    </x:row>
  </x:sheetData>
  <x:mergeCells>
    <x:mergeCell ref="A3:F3"/>
  </x:mergeCells>
  <x:pageMargins left="0.7" right="0.7" top="0.75" bottom="0.75" header="0.3" footer="0.3"/>
</x:worksheet>
</file>